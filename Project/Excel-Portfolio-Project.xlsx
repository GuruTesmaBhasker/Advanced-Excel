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hidePivotFieldList="1"/>
  <mc:AlternateContent xmlns:mc="http://schemas.openxmlformats.org/markup-compatibility/2006">
    <mc:Choice Requires="x15">
      <x15ac:absPath xmlns:x15ac="http://schemas.microsoft.com/office/spreadsheetml/2010/11/ac" url="C:\Users\pavan\Downloads\Upload\4-hour-course-xl-files\"/>
    </mc:Choice>
  </mc:AlternateContent>
  <xr:revisionPtr revIDLastSave="0" documentId="13_ncr:1_{7CA6956D-B5F0-4AAC-B159-72789034B1D3}"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Assets" sheetId="4" r:id="rId2"/>
    <sheet name="Pivot Table" sheetId="6" r:id="rId3"/>
    <sheet name="Customer Care report"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47" r:id="rId9"/>
    <pivotCache cacheId="150" r:id="rId10"/>
    <pivotCache cacheId="153" r:id="rId11"/>
    <pivotCache cacheId="156" r:id="rId12"/>
    <pivotCache cacheId="15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0" i="6" l="1"/>
  <c r="X33" i="5" s="1"/>
  <c r="I57" i="6"/>
  <c r="I60" i="6" s="1"/>
  <c r="I66" i="6" s="1"/>
  <c r="X30" i="5" s="1"/>
  <c r="I56" i="6"/>
  <c r="I59" i="6" s="1"/>
  <c r="I65" i="6" s="1"/>
  <c r="X28" i="5" s="1"/>
  <c r="O26" i="5" a="1"/>
  <c r="O26" i="5" s="1"/>
  <c r="N27" i="5" a="1"/>
  <c r="N27" i="5" s="1"/>
  <c r="K43" i="6"/>
  <c r="I46" i="6" a="1"/>
  <c r="I46"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5" i="6"/>
  <c r="I64" i="6" l="1"/>
  <c r="X26" i="5" s="1"/>
  <c r="M50" i="6"/>
  <c r="L48" i="6"/>
  <c r="L46" i="6"/>
  <c r="L49" i="6"/>
  <c r="M49" i="6"/>
  <c r="M46" i="6"/>
  <c r="M48" i="6"/>
  <c r="L47" i="6"/>
  <c r="M47" i="6"/>
  <c r="L5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4CB5A7-BA12-425F-9C77-9294943939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E66AC5-D49B-436D-AF5D-4FE99AE3996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BC06B150-3F91-4652-B697-46C163A8E016}"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<sst xmlns="http://schemas.openxmlformats.org/spreadsheetml/2006/main" count="3171" uniqueCount="1086">
  <si>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</si>
  <si>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</si>
  <si>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</si>
  <si>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</si>
  <si>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</si>
  <si>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</si>
  <si>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</si>
  <si>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</si>
  <si>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</si>
  <si>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</si>
  <si>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</si>
  <si>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</si>
  <si>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</si>
  <si>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</si>
  <si>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</si>
  <si>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</si>
  <si>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</si>
  <si>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</si>
  <si>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</si>
  <si>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</si>
  <si>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</si>
  <si>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</si>
  <si>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</si>
  <si>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</si>
  <si>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</si>
  <si>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</si>
  <si>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</si>
  <si>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</si>
  <si>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</si>
  <si>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</si>
  <si>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</si>
  <si>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</si>
  <si>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</si>
  <si>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</si>
  <si>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</si>
  <si>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</si>
  <si>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</si>
  <si>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</si>
  <si>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</si>
  <si>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</si>
  <si>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</si>
  <si>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</si>
  <si>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</si>
  <si>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</si>
  <si>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</si>
  <si>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</si>
  <si>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</si>
  <si>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</si>
  <si>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</si>
  <si>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</si>
  <si>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</si>
  <si>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</si>
  <si>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</si>
  <si>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</si>
  <si>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</si>
  <si>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</si>
  <si>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</si>
  <si>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</si>
  <si>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</si>
  <si>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</si>
  <si>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</si>
  <si>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</si>
  <si>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</si>
  <si>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</si>
  <si>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</si>
  <si>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</si>
  <si>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</si>
  <si>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</si>
  <si>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</si>
  <si>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</si>
  <si>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</si>
  <si>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</si>
  <si>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</si>
  <si>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</si>
  <si>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</si>
  <si>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</si>
  <si>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</si>
  <si>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</si>
  <si>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</si>
  <si>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</si>
  <si>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</si>
  <si>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</si>
  <si>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</si>
  <si>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</si>
  <si>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</si>
  <si>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</si>
  <si>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</si>
  <si>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</si>
  <si>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</si>
  <si>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</si>
  <si>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</si>
  <si>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</si>
  <si>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</si>
  <si>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</si>
  <si>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</si>
  <si>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</si>
  <si>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</si>
  <si>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</si>
  <si>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</si>
  <si>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</si>
  <si>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</si>
  <si>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</si>
  <si>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</si>
  <si>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</si>
  <si>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</si>
  <si>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</si>
  <si>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</si>
  <si>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</si>
  <si>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</si>
  <si>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</si>
  <si>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</si>
  <si>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</si>
  <si>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</si>
  <si>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</si>
  <si>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</si>
  <si>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</si>
  <si>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</si>
  <si>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</si>
  <si>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</si>
  <si>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</si>
  <si>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</si>
  <si>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</si>
  <si>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</si>
  <si>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</si>
  <si>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</si>
  <si>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</si>
  <si>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</si>
  <si>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</si>
  <si>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</si>
  <si>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</si>
  <si>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</si>
  <si>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</si>
  <si>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</si>
  <si>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</si>
  <si>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</si>
  <si>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</si>
  <si>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</si>
  <si>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</si>
  <si>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</si>
  <si>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</si>
  <si>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</si>
  <si>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</si>
  <si>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</si>
  <si>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</si>
  <si>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</si>
  <si>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</si>
  <si>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</si>
  <si>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</si>
  <si>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</si>
  <si>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</si>
  <si>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</si>
  <si>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</si>
  <si>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</si>
  <si>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</si>
  <si>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</si>
  <si>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</si>
  <si>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</si>
  <si>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</si>
  <si>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</si>
  <si>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</si>
  <si>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</si>
  <si>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</si>
  <si>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</si>
  <si>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</si>
  <si>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</si>
  <si>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</si>
  <si>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</si>
  <si>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</si>
  <si>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</si>
  <si>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</si>
  <si>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</si>
  <si>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</si>
  <si>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</si>
  <si>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</si>
  <si>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</si>
  <si>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</si>
  <si>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</si>
  <si>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</si>
  <si>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</si>
  <si>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</si>
  <si>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</si>
  <si>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</si>
  <si>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</si>
  <si>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</si>
  <si>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</si>
  <si>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</si>
  <si>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</si>
  <si>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</si>
  <si>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</si>
  <si>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</si>
  <si>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</si>
  <si>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</si>
  <si>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</si>
  <si>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</si>
  <si>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</si>
  <si>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</si>
  <si>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</si>
  <si>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</si>
  <si>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</si>
  <si>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</si>
  <si>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</si>
  <si>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</si>
  <si>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</si>
  <si>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</si>
  <si>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</si>
  <si>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</si>
  <si>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</si>
  <si>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</si>
  <si>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</si>
  <si>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</si>
  <si>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</si>
  <si>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</si>
  <si>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</si>
  <si>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</si>
  <si>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</si>
  <si>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</si>
  <si>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</si>
  <si>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</si>
  <si>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</si>
  <si>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</si>
  <si>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</si>
  <si>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</si>
  <si>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</si>
  <si>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</si>
  <si>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</si>
  <si>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</si>
  <si>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</si>
  <si>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</si>
  <si>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</si>
  <si>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</si>
  <si>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</si>
  <si>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</si>
  <si>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</si>
  <si>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</si>
  <si>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</si>
  <si>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</si>
  <si>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</si>
  <si>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</si>
  <si>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</si>
  <si>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</si>
  <si>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</si>
  <si>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</si>
  <si>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</si>
  <si>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</si>
  <si>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</si>
  <si>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</si>
  <si>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</si>
  <si>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</si>
  <si>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</si>
  <si>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</si>
  <si>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</si>
  <si>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</si>
  <si>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</si>
  <si>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</si>
  <si>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</si>
  <si>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</si>
  <si>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</si>
  <si>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</si>
  <si>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</si>
  <si>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</si>
  <si>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</si>
  <si>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</si>
  <si>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</si>
  <si>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</si>
  <si>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</si>
  <si>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</si>
  <si>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</si>
  <si>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</si>
  <si>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</si>
  <si>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</si>
  <si>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</si>
  <si>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</si>
  <si>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</si>
  <si>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</si>
  <si>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</si>
  <si>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</si>
  <si>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</si>
  <si>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</si>
  <si>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</si>
  <si>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</si>
  <si>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</si>
  <si>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</si>
  <si>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</si>
  <si>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</si>
  <si>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</si>
  <si>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</si>
  <si>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</si>
  <si>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</si>
  <si>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</si>
  <si>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</si>
  <si>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</si>
  <si>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</si>
  <si>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</si>
  <si>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</si>
  <si>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</si>
  <si>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</si>
  <si>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</si>
  <si>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</si>
  <si>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</si>
  <si>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</si>
  <si>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</si>
  <si>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</si>
  <si>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</si>
  <si>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</si>
  <si>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</si>
  <si>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</si>
  <si>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</si>
  <si>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</si>
  <si>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</si>
  <si>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</si>
  <si>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</si>
  <si>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</si>
  <si>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</si>
  <si>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</si>
  <si>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</si>
  <si>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</si>
  <si>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</si>
  <si>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</si>
  <si>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</si>
  <si>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</si>
  <si>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</si>
  <si>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</si>
  <si>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</si>
  <si>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</si>
  <si>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</si>
  <si>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</si>
  <si>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</si>
  <si>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</si>
  <si>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</si>
  <si>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</si>
  <si>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</si>
  <si>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</si>
  <si>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</si>
  <si>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</si>
  <si>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</si>
  <si>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</si>
  <si>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</si>
  <si>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</si>
  <si>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</si>
  <si>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</si>
  <si>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</si>
  <si>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</si>
  <si>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</si>
  <si>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</si>
  <si>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</si>
  <si>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</si>
  <si>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</si>
  <si>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</si>
  <si>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</si>
  <si>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</si>
  <si>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</si>
  <si>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</si>
  <si>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</si>
  <si>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</si>
  <si>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</si>
  <si>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</si>
  <si>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</si>
  <si>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</si>
  <si>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</si>
  <si>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</si>
  <si>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</si>
  <si>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</si>
  <si>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</si>
  <si>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</si>
  <si>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</si>
  <si>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</si>
  <si>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</si>
  <si>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</si>
  <si>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</si>
  <si>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</si>
  <si>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</si>
  <si>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</si>
  <si>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</si>
  <si>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</si>
  <si>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</si>
  <si>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</si>
  <si>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</si>
  <si>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</si>
  <si>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</si>
  <si>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</si>
  <si>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</si>
  <si>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</si>
  <si>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</si>
  <si>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</si>
  <si>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</si>
  <si>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</si>
  <si>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</si>
  <si>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</si>
  <si>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</si>
  <si>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</si>
  <si>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</si>
  <si>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</si>
  <si>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</si>
  <si>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</si>
  <si>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</si>
  <si>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</si>
  <si>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</si>
  <si>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</si>
  <si>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</si>
  <si>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</si>
  <si>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</si>
  <si>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</si>
  <si>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</si>
  <si>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</si>
  <si>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</si>
  <si>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</si>
  <si>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</si>
  <si>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</si>
  <si>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</si>
  <si>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</si>
  <si>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</si>
  <si>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</si>
  <si>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</si>
  <si>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</si>
  <si>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</si>
  <si>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</si>
  <si>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</si>
  <si>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</si>
  <si>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</si>
  <si>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</si>
  <si>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</si>
  <si>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</si>
  <si>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</si>
  <si>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</si>
  <si>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</si>
  <si>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</si>
  <si>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</si>
  <si>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</si>
  <si>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</si>
  <si>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</si>
  <si>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</si>
  <si>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</si>
  <si>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</si>
  <si>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</si>
  <si>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</si>
  <si>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</si>
  <si>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</si>
  <si>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</si>
  <si>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</si>
  <si>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</si>
  <si>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</si>
  <si>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</si>
  <si>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</si>
  <si>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</si>
  <si>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</si>
  <si>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</si>
  <si>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</si>
  <si>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</si>
  <si>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</si>
  <si>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</si>
  <si>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</si>
  <si>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</si>
  <si>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</si>
  <si>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</si>
  <si>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</si>
  <si>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</si>
  <si>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</si>
  <si>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</si>
  <si>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</si>
  <si>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</si>
  <si>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</si>
  <si>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</si>
  <si>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</si>
  <si>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</si>
  <si>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</si>
  <si>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</si>
  <si>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</si>
  <si>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</si>
  <si>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</si>
  <si>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</si>
  <si>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</si>
  <si>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</si>
  <si>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</si>
  <si>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</si>
  <si>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</si>
  <si>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</si>
  <si>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</si>
  <si>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</si>
  <si>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</si>
  <si>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</si>
  <si>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</si>
  <si>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</si>
  <si>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</si>
  <si>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</si>
  <si>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</si>
  <si>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</si>
  <si>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</si>
  <si>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</si>
  <si>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</si>
  <si>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</si>
  <si>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</si>
  <si>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</si>
  <si>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</si>
  <si>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</si>
  <si>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</si>
  <si>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</si>
  <si>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</si>
  <si>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</si>
  <si>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</si>
  <si>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</si>
  <si>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</si>
  <si>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</si>
  <si>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</si>
  <si>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</si>
  <si>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</si>
  <si>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</si>
  <si>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</si>
  <si>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</si>
  <si>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</si>
  <si>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</si>
  <si>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</si>
  <si>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</si>
  <si>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</si>
  <si>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</si>
  <si>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</si>
  <si>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</si>
  <si>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</si>
  <si>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</si>
  <si>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</si>
  <si>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</si>
  <si>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</si>
  <si>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</si>
  <si>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</si>
  <si>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</si>
  <si>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</si>
  <si>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</si>
  <si>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</si>
  <si>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</si>
  <si>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</si>
  <si>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</si>
  <si>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</si>
  <si>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</si>
  <si>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</si>
  <si>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</si>
  <si>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</si>
  <si>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</si>
  <si>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</si>
  <si>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</si>
  <si>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</si>
  <si>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</si>
  <si>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</si>
  <si>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</si>
  <si>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</si>
  <si>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</si>
  <si>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</si>
  <si>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</si>
  <si>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</si>
  <si>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</si>
  <si>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</si>
  <si>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</si>
  <si>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</si>
  <si>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</si>
  <si>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</si>
  <si>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</si>
  <si>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</si>
  <si>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</si>
  <si>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</si>
  <si>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</si>
  <si>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</si>
  <si>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</si>
  <si>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</si>
  <si>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</si>
  <si>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</si>
  <si>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</si>
  <si>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</si>
  <si>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</si>
  <si>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</si>
  <si>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</si>
  <si>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</si>
  <si>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</si>
  <si>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</si>
  <si>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</si>
  <si>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</si>
  <si>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</si>
  <si>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</si>
  <si>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</si>
  <si>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</si>
  <si>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</si>
  <si>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</si>
  <si>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</si>
  <si>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</si>
  <si>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</si>
  <si>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</si>
  <si>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</si>
  <si>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</si>
  <si>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</si>
  <si>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</si>
  <si>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</si>
  <si>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</si>
  <si>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</si>
  <si>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</si>
  <si>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</si>
  <si>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</si>
  <si>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</si>
  <si>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</si>
  <si>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</si>
  <si>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</si>
  <si>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</si>
  <si>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</si>
  <si>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</si>
  <si>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</si>
  <si>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</si>
  <si>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</si>
  <si>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</si>
  <si>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</si>
  <si>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</si>
  <si>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</si>
  <si>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</si>
  <si>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</si>
  <si>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</si>
  <si>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</si>
  <si>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</si>
  <si>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</si>
  <si>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</si>
  <si>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</si>
  <si>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</si>
  <si>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</si>
  <si>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</si>
  <si>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</si>
  <si>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</si>
  <si>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</si>
  <si>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</si>
  <si>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</si>
  <si>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</si>
  <si>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</si>
  <si>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</si>
  <si>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</si>
  <si>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</si>
  <si>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</si>
  <si>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</si>
  <si>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</si>
  <si>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</si>
  <si>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</si>
  <si>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</si>
  <si>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</si>
  <si>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</si>
  <si>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</si>
  <si>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</si>
  <si>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</si>
  <si>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</si>
  <si>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</si>
  <si>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</si>
  <si>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</si>
  <si>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</si>
  <si>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</si>
  <si>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</si>
  <si>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</si>
  <si>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</si>
  <si>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</si>
  <si>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</si>
  <si>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</si>
  <si>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</si>
  <si>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</si>
  <si>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</si>
  <si>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</si>
  <si>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</si>
  <si>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</si>
  <si>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</si>
  <si>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</si>
  <si>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</si>
  <si>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</si>
  <si>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</si>
  <si>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</si>
  <si>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</si>
  <si>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</si>
  <si>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</si>
  <si>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</si>
  <si>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</si>
  <si>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</si>
  <si>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</si>
  <si>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</si>
  <si>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</si>
  <si>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</si>
  <si>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</si>
  <si>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</si>
  <si>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</si>
  <si>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</si>
  <si>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</si>
  <si>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</si>
  <si>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</si>
  <si>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</si>
  <si>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</si>
  <si>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</si>
  <si>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</si>
  <si>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</si>
  <si>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</si>
  <si>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</si>
  <si>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</si>
  <si>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</si>
  <si>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</si>
  <si>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</si>
  <si>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</si>
  <si>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</si>
  <si>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</si>
  <si>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</si>
  <si>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</si>
  <si>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</si>
  <si>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</si>
  <si>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</si>
  <si>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</si>
  <si>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</si>
  <si>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</si>
  <si>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</si>
  <si>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</si>
  <si>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</si>
  <si>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</si>
  <si>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</si>
  <si>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</si>
  <si>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</si>
  <si>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</si>
  <si>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</si>
  <si>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</si>
  <si>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</si>
  <si>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</si>
  <si>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</si>
  <si>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</si>
  <si>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</si>
  <si>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</si>
  <si>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</si>
  <si>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</si>
  <si>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</si>
  <si>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</si>
  <si>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</si>
  <si>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</si>
  <si>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</si>
  <si>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</si>
  <si>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</si>
  <si>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</si>
  <si>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</si>
  <si>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</si>
  <si>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</si>
  <si>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</si>
  <si>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</si>
  <si>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</si>
  <si>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</si>
  <si>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</si>
  <si>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</si>
  <si>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</si>
  <si>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</si>
  <si>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</si>
  <si>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</si>
  <si>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</si>
  <si>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</si>
  <si>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</si>
  <si>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</si>
  <si>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</si>
  <si>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</si>
  <si>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</si>
  <si>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</si>
  <si>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</si>
  <si>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</si>
  <si>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</si>
  <si>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</si>
  <si>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</si>
  <si>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</si>
  <si>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</si>
  <si>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</si>
  <si>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</si>
  <si>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</si>
  <si>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</si>
  <si>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</si>
  <si>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</si>
  <si>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</si>
  <si>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</si>
  <si>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</si>
  <si>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</si>
  <si>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</si>
  <si>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</si>
  <si>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</si>
  <si>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</si>
  <si>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</si>
  <si>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</si>
  <si>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</si>
  <si>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</si>
  <si>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</si>
  <si>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</si>
  <si>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</si>
  <si>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</si>
  <si>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</si>
  <si>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</si>
  <si>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</si>
  <si>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</si>
  <si>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</si>
  <si>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</si>
  <si>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</si>
  <si>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</si>
  <si>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</si>
  <si>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</si>
  <si>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</si>
  <si>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</si>
  <si>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</si>
  <si>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</si>
  <si>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</si>
  <si>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</si>
  <si>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</si>
  <si>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</si>
  <si>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</si>
  <si>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</si>
  <si>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</si>
  <si>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</si>
  <si>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</si>
  <si>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</si>
  <si>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</si>
  <si>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</si>
  <si>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</si>
  <si>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</si>
  <si>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</si>
  <si>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</si>
  <si>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</si>
  <si>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</si>
  <si>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</si>
  <si>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</si>
  <si>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</si>
  <si>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</si>
  <si>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</si>
  <si>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</si>
  <si>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</si>
  <si>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</si>
  <si>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</si>
  <si>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</si>
  <si>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</si>
  <si>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</si>
  <si>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</si>
  <si>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</si>
  <si>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</si>
  <si>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</si>
  <si>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</si>
  <si>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</si>
  <si>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</si>
  <si>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</si>
  <si>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</si>
  <si>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</si>
  <si>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</si>
  <si>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</si>
  <si>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</si>
  <si>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</si>
  <si>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</si>
  <si>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</si>
  <si>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</si>
  <si>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</si>
  <si>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</si>
  <si>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</si>
  <si>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</si>
  <si>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</si>
  <si>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</si>
  <si>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</si>
  <si>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</si>
  <si>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</si>
  <si>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</si>
  <si>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</si>
  <si>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</si>
  <si>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</si>
  <si>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</si>
  <si>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</si>
  <si>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</si>
  <si>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</si>
  <si>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</si>
  <si>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</si>
  <si>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</si>
  <si>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</si>
  <si>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</si>
  <si>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</si>
  <si>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</si>
  <si>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</si>
  <si>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</si>
  <si>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</si>
  <si>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</si>
  <si>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</si>
  <si>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</si>
  <si>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</si>
  <si>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</si>
  <si>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</si>
  <si>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</si>
  <si>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</si>
  <si>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</si>
  <si>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</si>
  <si>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</si>
  <si>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</si>
  <si>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</si>
  <si>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</si>
  <si>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</si>
  <si>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</si>
  <si>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</si>
  <si>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</si>
  <si>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</si>
  <si>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</si>
  <si>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</si>
  <si>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</si>
  <si>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</si>
  <si>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</si>
  <si>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</si>
  <si>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</si>
  <si>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</si>
  <si>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</si>
  <si>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</si>
  <si>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</si>
  <si>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</si>
  <si>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</si>
  <si>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</si>
  <si>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</si>
  <si>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</si>
  <si>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</si>
  <si>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</si>
  <si>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</si>
  <si>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</si>
  <si>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</si>
  <si>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</si>
  <si>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</si>
  <si>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</si>
  <si>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</si>
  <si>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</si>
  <si>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</si>
  <si>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</si>
  <si>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</si>
  <si>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</si>
  <si>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</si>
  <si>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</si>
  <si>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</si>
  <si>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</si>
  <si>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</si>
  <si>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</si>
  <si>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</si>
  <si>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</si>
  <si>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</si>
  <si>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</si>
  <si>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</si>
  <si>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</si>
  <si>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</si>
  <si>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</si>
  <si>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</si>
  <si>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</si>
  <si>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</si>
  <si>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</si>
  <si>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</si>
  <si>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</si>
  <si>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</si>
  <si>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</si>
  <si>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</si>
  <si>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</si>
  <si>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</si>
  <si>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</si>
  <si>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</si>
  <si>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</si>
  <si>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</si>
  <si>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</si>
  <si>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</si>
  <si>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</si>
  <si>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</si>
  <si>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</si>
  <si>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</si>
  <si>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</si>
  <si>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</si>
  <si>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</si>
  <si>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</si>
  <si>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</si>
  <si>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</si>
  <si>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</si>
  <si>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</si>
  <si>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</si>
  <si>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</si>
  <si>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</si>
  <si>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</si>
  <si>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</si>
  <si>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</si>
  <si>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</si>
  <si>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</si>
  <si>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</si>
  <si>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</si>
  <si>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</si>
  <si>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</si>
  <si>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</si>
  <si>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</si>
  <si>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</si>
  <si>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</si>
  <si>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</si>
  <si>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</si>
  <si>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</si>
  <si>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</si>
  <si>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</si>
  <si>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</si>
  <si>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</si>
  <si>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</si>
  <si>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</si>
  <si>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</si>
  <si>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</si>
  <si>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</si>
  <si>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</si>
  <si>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</si>
  <si>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</si>
  <si>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</si>
  <si>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</si>
  <si>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</si>
  <si>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</si>
  <si>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</si>
  <si>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</si>
  <si>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</si>
  <si>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</si>
  <si>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</si>
  <si>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</si>
  <si>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</si>
  <si>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</si>
  <si>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</si>
  <si>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</si>
  <si>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</si>
  <si>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</si>
  <si>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</si>
  <si>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</si>
  <si>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</si>
  <si>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</si>
  <si>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</si>
  <si>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</si>
  <si>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</si>
  <si>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</si>
  <si>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</si>
  <si>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</si>
  <si>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</si>
  <si>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</si>
  <si>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</si>
  <si>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</si>
  <si>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</si>
  <si>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</si>
  <si>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</si>
  <si>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</si>
  <si>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</si>
  <si>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</si>
  <si>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</si>
  <si>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</si>
  <si>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</si>
  <si>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</si>
  <si>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</si>
  <si>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</si>
  <si>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</si>
  <si>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</si>
  <si>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</si>
  <si>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</si>
  <si>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</si>
  <si>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</si>
  <si>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</si>
  <si>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</si>
  <si>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</si>
  <si>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</si>
  <si>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</si>
  <si>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</si>
  <si>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 xml:space="preserve">Total Amount </t>
  </si>
  <si>
    <t>Total Duration</t>
  </si>
  <si>
    <t>Average Rating</t>
  </si>
  <si>
    <t>5 Stars</t>
  </si>
  <si>
    <t>Row Labels</t>
  </si>
  <si>
    <t>Grand Total</t>
  </si>
  <si>
    <t>Jan</t>
  </si>
  <si>
    <t>Feb</t>
  </si>
  <si>
    <t>Mar</t>
  </si>
  <si>
    <t>Apr</t>
  </si>
  <si>
    <t>May</t>
  </si>
  <si>
    <t>Jun</t>
  </si>
  <si>
    <t>Jul</t>
  </si>
  <si>
    <t>Aug</t>
  </si>
  <si>
    <t>Sep</t>
  </si>
  <si>
    <t>Oct</t>
  </si>
  <si>
    <t>Nov</t>
  </si>
  <si>
    <t>Dec</t>
  </si>
  <si>
    <t>Count of Call number</t>
  </si>
  <si>
    <t>Friday</t>
  </si>
  <si>
    <t>Monday</t>
  </si>
  <si>
    <t>Saturday</t>
  </si>
  <si>
    <t>Sunday</t>
  </si>
  <si>
    <t>Thursday</t>
  </si>
  <si>
    <t>Tuesday</t>
  </si>
  <si>
    <t>Wednesday</t>
  </si>
  <si>
    <t>Rep id</t>
  </si>
  <si>
    <t xml:space="preserve">call </t>
  </si>
  <si>
    <t>amount</t>
  </si>
  <si>
    <t>sel. Calls</t>
  </si>
  <si>
    <t>sel.amount</t>
  </si>
  <si>
    <t>selected rep</t>
  </si>
  <si>
    <t>Column Labels</t>
  </si>
  <si>
    <t>TOTAL</t>
  </si>
  <si>
    <t>REP summary</t>
  </si>
  <si>
    <t>% of Calls</t>
  </si>
  <si>
    <t>Calls</t>
  </si>
  <si>
    <t>Amounts</t>
  </si>
  <si>
    <t>Call Ranks</t>
  </si>
  <si>
    <t>Amount Ranks</t>
  </si>
  <si>
    <t>Labels:</t>
  </si>
  <si>
    <t xml:space="preserve">Image: </t>
  </si>
  <si>
    <t>Call Center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</si>
</sst>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k"/>
    <numFmt numFmtId="168" formatCode="&quot;$&quot;#,##0"/>
  </numFmts>
  <fonts count="10"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ptos ExtraBold"/>
      <family val="2"/>
    </font>
    <font>
      <b/>
      <sz val="11"/>
      <color theme="1"/>
      <name val="Aptos ExtraBold"/>
      <family val="2"/>
    </font>
    <font>
      <b/>
      <sz val="10"/>
      <color theme="1"/>
      <name val="Aptos ExtraBold"/>
      <family val="2"/>
    </font>
    <font>
      <sz val="10"/>
      <color theme="1"/>
      <name val="Aptos ExtraBold"/>
      <family val="2"/>
    </font>
    <font>
      <sz val="18"/>
      <color theme="0" tint="-0.499984740745262"/>
      <name val="Aptos ExtraBold"/>
      <family val="2"/>
    </font>
    <font>
      <b/>
      <sz val="36"/>
      <color theme="1" tint="0.499984740745262"/>
      <name val="Aptos ExtraBold"/>
      <family val="2"/>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xf numFmtId="168" fontId="7" fillId="4" borderId="1" xfId="0" applyNumberFormat="1" applyFont="1" applyFill="1" applyBorder="1" applyAlignment="1">
      <alignment horizontal="center"/>
    </xf>
    <xf numFmtId="0" fontId="4" fillId="4" borderId="1" xfId="0" applyFont="1" applyFill="1" applyBorder="1"/>
    <xf numFmtId="0" fontId="5" fillId="4" borderId="1" xfId="0" applyFont="1" applyFill="1" applyBorder="1" applyAlignment="1">
      <alignment horizontal="center"/>
    </xf>
    <xf numFmtId="0" fontId="5" fillId="4" borderId="1" xfId="0" applyFont="1" applyFill="1" applyBorder="1"/>
    <xf numFmtId="0" fontId="6" fillId="4" borderId="1" xfId="0" applyFont="1" applyFill="1" applyBorder="1"/>
    <xf numFmtId="0" fontId="7" fillId="4" borderId="1" xfId="0" applyFont="1" applyFill="1" applyBorder="1"/>
    <xf numFmtId="0" fontId="7" fillId="4" borderId="1" xfId="0" applyFont="1" applyFill="1" applyBorder="1" applyAlignment="1">
      <alignment horizontal="left" indent="1"/>
    </xf>
    <xf numFmtId="0" fontId="6" fillId="4" borderId="1" xfId="0" applyFont="1" applyFill="1" applyBorder="1" applyAlignment="1">
      <alignment horizontal="left"/>
    </xf>
    <xf numFmtId="0" fontId="0" fillId="0" borderId="0" xfId="0" applyNumberFormat="1"/>
    <xf numFmtId="0" fontId="0" fillId="3" borderId="0" xfId="0" applyFill="1" applyAlignment="1"/>
    <xf numFmtId="0" fontId="8" fillId="3" borderId="0" xfId="0" applyFont="1" applyFill="1" applyAlignment="1"/>
    <xf numFmtId="0" fontId="0" fillId="3" borderId="0" xfId="0" applyFill="1" applyBorder="1" applyAlignment="1">
      <alignment horizontal="center"/>
    </xf>
    <xf numFmtId="0" fontId="9" fillId="3" borderId="0" xfId="0" applyFont="1" applyFill="1"/>
  </cellXfs>
  <cellStyles count="1">
    <cellStyle name="Normal" xfId="0" builtinId="0"/>
  </cellStyles>
  <dxfs count="18">
    <dxf>
      <fill>
        <patternFill>
          <bgColor theme="5" tint="0.79998168889431442"/>
        </patternFill>
      </fill>
      <border>
        <left style="thin">
          <color theme="1"/>
        </left>
        <right style="thin">
          <color theme="1"/>
        </right>
        <top style="thin">
          <color theme="1"/>
        </top>
        <bottom style="thin">
          <color theme="1"/>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5"/>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2 2" pivot="0" table="0" count="10" xr9:uid="{B106136F-FEB8-4151-9243-4E95810FD3EA}">
      <tableStyleElement type="wholeTable" dxfId="16"/>
      <tableStyleElement type="headerRow" dxfId="15"/>
    </tableStyle>
  </tableStyles>
  <colors>
    <mruColors>
      <color rgb="FFFF6600"/>
      <color rgb="FFFF5050"/>
      <color rgb="FFFF3300"/>
      <color rgb="FFFFCC66"/>
      <color rgb="FF29211D"/>
      <color rgb="FFA2D096"/>
      <color rgb="FFD1E77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rgb="FFFF33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 Table!weekly</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alpha val="8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00">
              <a:alpha val="81000"/>
            </a:srgbClr>
          </a:solidFill>
          <a:ln>
            <a:noFill/>
          </a:ln>
          <a:effectLst/>
        </c:spPr>
      </c:pivotFmt>
    </c:pivotFmts>
    <c:plotArea>
      <c:layout>
        <c:manualLayout>
          <c:layoutTarget val="inner"/>
          <c:xMode val="edge"/>
          <c:yMode val="edge"/>
          <c:x val="0.39477032842061927"/>
          <c:y val="8.0707829171464268E-2"/>
          <c:w val="0.60522967157938068"/>
          <c:h val="0.87835699218724494"/>
        </c:manualLayout>
      </c:layout>
      <c:barChart>
        <c:barDir val="bar"/>
        <c:grouping val="clustered"/>
        <c:varyColors val="0"/>
        <c:ser>
          <c:idx val="0"/>
          <c:order val="0"/>
          <c:tx>
            <c:strRef>
              <c:f>'Pivot Table'!$H$23</c:f>
              <c:strCache>
                <c:ptCount val="1"/>
                <c:pt idx="0">
                  <c:v>Total</c:v>
                </c:pt>
              </c:strCache>
            </c:strRef>
          </c:tx>
          <c:spPr>
            <a:solidFill>
              <a:srgbClr val="FF3300">
                <a:alpha val="81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Table'!$G$24:$G$31</c:f>
              <c:strCache>
                <c:ptCount val="7"/>
                <c:pt idx="0">
                  <c:v>Sunday</c:v>
                </c:pt>
                <c:pt idx="1">
                  <c:v>Monday</c:v>
                </c:pt>
                <c:pt idx="2">
                  <c:v>Tuesday</c:v>
                </c:pt>
                <c:pt idx="3">
                  <c:v>Wednesday</c:v>
                </c:pt>
                <c:pt idx="4">
                  <c:v>Thursday</c:v>
                </c:pt>
                <c:pt idx="5">
                  <c:v>Friday</c:v>
                </c:pt>
                <c:pt idx="6">
                  <c:v>Saturday</c:v>
                </c:pt>
              </c:strCache>
            </c:strRef>
          </c:cat>
          <c:val>
            <c:numRef>
              <c:f>'Pivot Table'!$H$24:$H$31</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9FD4-41AD-92F7-672009941435}"/>
            </c:ext>
          </c:extLst>
        </c:ser>
        <c:dLbls>
          <c:dLblPos val="outEnd"/>
          <c:showLegendKey val="0"/>
          <c:showVal val="1"/>
          <c:showCatName val="0"/>
          <c:showSerName val="0"/>
          <c:showPercent val="0"/>
          <c:showBubbleSize val="0"/>
        </c:dLbls>
        <c:gapWidth val="25"/>
        <c:axId val="1007148880"/>
        <c:axId val="1007152240"/>
      </c:barChart>
      <c:catAx>
        <c:axId val="1007148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C"/>
          </a:p>
        </c:txPr>
        <c:crossAx val="1007152240"/>
        <c:crosses val="autoZero"/>
        <c:auto val="1"/>
        <c:lblAlgn val="ctr"/>
        <c:lblOffset val="100"/>
        <c:noMultiLvlLbl val="0"/>
      </c:catAx>
      <c:valAx>
        <c:axId val="1007152240"/>
        <c:scaling>
          <c:orientation val="minMax"/>
        </c:scaling>
        <c:delete val="1"/>
        <c:axPos val="b"/>
        <c:numFmt formatCode="#,##0" sourceLinked="1"/>
        <c:majorTickMark val="out"/>
        <c:minorTickMark val="none"/>
        <c:tickLblPos val="nextTo"/>
        <c:crossAx val="10071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 Table!Monthly </c:name>
    <c:fmtId val="10"/>
  </c:pivotSource>
  <c:chart>
    <c:title>
      <c:tx>
        <c:rich>
          <a:bodyPr rot="0" spcFirstLastPara="1" vertOverflow="ellipsis" vert="horz" wrap="square" anchor="ctr" anchorCtr="1"/>
          <a:lstStyle/>
          <a:p>
            <a:pPr>
              <a:defRPr sz="1800" b="1" i="0" u="none" strike="noStrike" kern="1200" cap="all" spc="150" baseline="0">
                <a:solidFill>
                  <a:srgbClr val="FF6600"/>
                </a:solidFill>
                <a:latin typeface="Aptos ExtraBold" panose="020B0004020202020204" pitchFamily="34" charset="0"/>
                <a:ea typeface="+mn-ea"/>
                <a:cs typeface="+mn-cs"/>
              </a:defRPr>
            </a:pPr>
            <a:r>
              <a:rPr lang="en-US">
                <a:solidFill>
                  <a:srgbClr val="FF6600"/>
                </a:solidFill>
                <a:latin typeface="Aptos ExtraBold" panose="020B0004020202020204" pitchFamily="34" charset="0"/>
              </a:rPr>
              <a:t>Call Trend</a:t>
            </a:r>
          </a:p>
        </c:rich>
      </c:tx>
      <c:layout>
        <c:manualLayout>
          <c:xMode val="edge"/>
          <c:yMode val="edge"/>
          <c:x val="4.7513779527559058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rgbClr val="FF6600"/>
              </a:solidFill>
              <a:latin typeface="Aptos ExtraBold"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bg1"/>
              </a:gs>
              <a:gs pos="30000">
                <a:srgbClr val="FFB380"/>
              </a:gs>
              <a:gs pos="100000">
                <a:srgbClr val="FF6600"/>
              </a:gs>
            </a:gsLst>
            <a:lin ang="16200000" scaled="0"/>
          </a:gra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3300"/>
            </a:solidFill>
            <a:round/>
          </a:ln>
          <a:effectLst/>
        </c:spPr>
        <c:marker>
          <c:symbol val="circle"/>
          <c:size val="6"/>
          <c:spPr>
            <a:solidFill>
              <a:srgbClr val="FF6600">
                <a:alpha val="80000"/>
              </a:srgbClr>
            </a:solidFill>
            <a:ln w="127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Table'!$D$23</c:f>
              <c:strCache>
                <c:ptCount val="1"/>
                <c:pt idx="0">
                  <c:v>Count of Call number</c:v>
                </c:pt>
              </c:strCache>
            </c:strRef>
          </c:tx>
          <c:spPr>
            <a:gradFill>
              <a:gsLst>
                <a:gs pos="0">
                  <a:schemeClr val="bg1"/>
                </a:gs>
                <a:gs pos="30000">
                  <a:srgbClr val="FFB380"/>
                </a:gs>
                <a:gs pos="100000">
                  <a:srgbClr val="FF6600"/>
                </a:gs>
              </a:gsLst>
              <a:lin ang="16200000" scaled="0"/>
            </a:gradFill>
            <a:ln>
              <a:noFill/>
            </a:ln>
            <a:effectLst>
              <a:innerShdw blurRad="114300">
                <a:schemeClr val="accent1"/>
              </a:innerShdw>
            </a:effectLst>
          </c:spPr>
          <c:cat>
            <c:strRef>
              <c:f>'Pivot Table'!$C$24:$C$36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Table'!$D$24:$D$36</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BA4D-481D-A1A9-BF5CA08ADD7D}"/>
            </c:ext>
          </c:extLst>
        </c:ser>
        <c:dLbls>
          <c:showLegendKey val="0"/>
          <c:showVal val="0"/>
          <c:showCatName val="0"/>
          <c:showSerName val="0"/>
          <c:showPercent val="0"/>
          <c:showBubbleSize val="0"/>
        </c:dLbls>
        <c:axId val="1787324496"/>
        <c:axId val="1787342736"/>
      </c:areaChart>
      <c:lineChart>
        <c:grouping val="stacked"/>
        <c:varyColors val="0"/>
        <c:ser>
          <c:idx val="1"/>
          <c:order val="1"/>
          <c:tx>
            <c:strRef>
              <c:f>'Pivot Table'!$E$23</c:f>
              <c:strCache>
                <c:ptCount val="1"/>
                <c:pt idx="0">
                  <c:v>Call Count</c:v>
                </c:pt>
              </c:strCache>
            </c:strRef>
          </c:tx>
          <c:spPr>
            <a:ln w="28575" cap="rnd">
              <a:solidFill>
                <a:srgbClr val="FF3300"/>
              </a:solidFill>
              <a:round/>
            </a:ln>
            <a:effectLst/>
          </c:spPr>
          <c:marker>
            <c:symbol val="circle"/>
            <c:size val="6"/>
            <c:spPr>
              <a:solidFill>
                <a:srgbClr val="FF6600">
                  <a:alpha val="80000"/>
                </a:srgbClr>
              </a:solidFill>
              <a:ln w="12700">
                <a:solidFill>
                  <a:schemeClr val="tx1"/>
                </a:solidFill>
              </a:ln>
              <a:effectLst/>
            </c:spPr>
          </c:marker>
          <c:cat>
            <c:strRef>
              <c:f>'Pivot Table'!$C$24:$C$36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Table'!$E$24:$E$36</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BA4D-481D-A1A9-BF5CA08ADD7D}"/>
            </c:ext>
          </c:extLst>
        </c:ser>
        <c:dLbls>
          <c:showLegendKey val="0"/>
          <c:showVal val="0"/>
          <c:showCatName val="0"/>
          <c:showSerName val="0"/>
          <c:showPercent val="0"/>
          <c:showBubbleSize val="0"/>
        </c:dLbls>
        <c:marker val="1"/>
        <c:smooth val="0"/>
        <c:axId val="1787324496"/>
        <c:axId val="1787342736"/>
      </c:lineChart>
      <c:catAx>
        <c:axId val="17873244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C"/>
          </a:p>
        </c:txPr>
        <c:crossAx val="1787342736"/>
        <c:crosses val="autoZero"/>
        <c:auto val="1"/>
        <c:lblAlgn val="ctr"/>
        <c:lblOffset val="100"/>
        <c:noMultiLvlLbl val="0"/>
      </c:catAx>
      <c:valAx>
        <c:axId val="178734273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C"/>
          </a:p>
        </c:txPr>
        <c:crossAx val="178732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FF6600"/>
                </a:solidFill>
                <a:latin typeface="Aptos ExtraBold" panose="020B0004020202020204" pitchFamily="34" charset="0"/>
                <a:ea typeface="+mn-ea"/>
                <a:cs typeface="+mn-cs"/>
              </a:defRPr>
            </a:pPr>
            <a:r>
              <a:rPr lang="en-US" sz="1800">
                <a:solidFill>
                  <a:srgbClr val="FF6600"/>
                </a:solidFill>
                <a:latin typeface="Aptos ExtraBold" panose="020B0004020202020204" pitchFamily="34" charset="0"/>
              </a:rPr>
              <a:t>Calls</a:t>
            </a:r>
          </a:p>
        </c:rich>
      </c:tx>
      <c:layout>
        <c:manualLayout>
          <c:xMode val="edge"/>
          <c:yMode val="edge"/>
          <c:x val="6.5416540371185272E-2"/>
          <c:y val="2.173913043478260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FF6600"/>
              </a:solidFill>
              <a:latin typeface="Aptos ExtraBold" panose="020B0004020202020204" pitchFamily="34" charset="0"/>
              <a:ea typeface="+mn-ea"/>
              <a:cs typeface="+mn-cs"/>
            </a:defRPr>
          </a:pPr>
          <a:endParaRPr lang="en-VC"/>
        </a:p>
      </c:txPr>
    </c:title>
    <c:autoTitleDeleted val="0"/>
    <c:plotArea>
      <c:layout>
        <c:manualLayout>
          <c:layoutTarget val="inner"/>
          <c:xMode val="edge"/>
          <c:yMode val="edge"/>
          <c:x val="0.16282316996648274"/>
          <c:y val="0.14708216495021736"/>
          <c:w val="0.83717683003351728"/>
          <c:h val="0.81436878061918005"/>
        </c:manualLayout>
      </c:layout>
      <c:barChart>
        <c:barDir val="bar"/>
        <c:grouping val="clustered"/>
        <c:varyColors val="0"/>
        <c:ser>
          <c:idx val="0"/>
          <c:order val="0"/>
          <c:spPr>
            <a:solidFill>
              <a:schemeClr val="bg1">
                <a:lumMod val="75000"/>
              </a:schemeClr>
            </a:solidFill>
            <a:ln w="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Table'!$I$46:$I$50</c:f>
              <c:strCache>
                <c:ptCount val="5"/>
                <c:pt idx="0">
                  <c:v>R01</c:v>
                </c:pt>
                <c:pt idx="1">
                  <c:v>R02</c:v>
                </c:pt>
                <c:pt idx="2">
                  <c:v>R03</c:v>
                </c:pt>
                <c:pt idx="3">
                  <c:v>R04</c:v>
                </c:pt>
                <c:pt idx="4">
                  <c:v>R05</c:v>
                </c:pt>
              </c:strCache>
            </c:strRef>
          </c:cat>
          <c:val>
            <c:numRef>
              <c:f>'Pivot Table'!$J$46:$J$50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FE7-4DD7-9960-536EAF26F442}"/>
            </c:ext>
          </c:extLst>
        </c:ser>
        <c:ser>
          <c:idx val="1"/>
          <c:order val="1"/>
          <c:tx>
            <c:strRef>
              <c:f>'Pivot Table'!$L$45</c:f>
              <c:strCache>
                <c:ptCount val="1"/>
                <c:pt idx="0">
                  <c:v>sel. Calls</c:v>
                </c:pt>
              </c:strCache>
            </c:strRef>
          </c:tx>
          <c:spPr>
            <a:gradFill flip="none" rotWithShape="1">
              <a:gsLst>
                <a:gs pos="0">
                  <a:srgbClr val="FF6600"/>
                </a:gs>
                <a:gs pos="100000">
                  <a:schemeClr val="accent2"/>
                </a:gs>
              </a:gsLst>
              <a:lin ang="0" scaled="0"/>
              <a:tileRect/>
            </a:gradFill>
            <a:ln w="9525">
              <a:noFill/>
            </a:ln>
            <a:effectLst/>
          </c:spPr>
          <c:invertIfNegative val="0"/>
          <c:val>
            <c:numRef>
              <c:f>'Pivot Table'!$L$46:$L$50</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DFE7-4DD7-9960-536EAF26F442}"/>
            </c:ext>
          </c:extLst>
        </c:ser>
        <c:dLbls>
          <c:showLegendKey val="0"/>
          <c:showVal val="0"/>
          <c:showCatName val="0"/>
          <c:showSerName val="0"/>
          <c:showPercent val="0"/>
          <c:showBubbleSize val="0"/>
        </c:dLbls>
        <c:gapWidth val="26"/>
        <c:overlap val="100"/>
        <c:axId val="795374768"/>
        <c:axId val="795357488"/>
      </c:barChart>
      <c:catAx>
        <c:axId val="795374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C"/>
          </a:p>
        </c:txPr>
        <c:crossAx val="795357488"/>
        <c:crosses val="autoZero"/>
        <c:auto val="1"/>
        <c:lblAlgn val="ctr"/>
        <c:lblOffset val="100"/>
        <c:noMultiLvlLbl val="0"/>
      </c:catAx>
      <c:valAx>
        <c:axId val="795357488"/>
        <c:scaling>
          <c:orientation val="minMax"/>
          <c:min val="0"/>
        </c:scaling>
        <c:delete val="1"/>
        <c:axPos val="t"/>
        <c:numFmt formatCode="General" sourceLinked="1"/>
        <c:majorTickMark val="none"/>
        <c:minorTickMark val="none"/>
        <c:tickLblPos val="nextTo"/>
        <c:crossAx val="79537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V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F3300"/>
                </a:solidFill>
                <a:latin typeface="Aptos ExtraBold" panose="020B0004020202020204" pitchFamily="34" charset="0"/>
              </a:rPr>
              <a:t>Amount</a:t>
            </a:r>
          </a:p>
        </c:rich>
      </c:tx>
      <c:layout>
        <c:manualLayout>
          <c:xMode val="edge"/>
          <c:yMode val="edge"/>
          <c:x val="1.6579899878535959E-3"/>
          <c:y val="2.515559732576257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C"/>
        </a:p>
      </c:txPr>
    </c:title>
    <c:autoTitleDeleted val="0"/>
    <c:plotArea>
      <c:layout>
        <c:manualLayout>
          <c:layoutTarget val="inner"/>
          <c:xMode val="edge"/>
          <c:yMode val="edge"/>
          <c:x val="7.2153129179194995E-4"/>
          <c:y val="0.14624415886732278"/>
          <c:w val="0.94468232672039365"/>
          <c:h val="0.78831628521601016"/>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Table'!$I$46:$I$50</c:f>
              <c:strCache>
                <c:ptCount val="5"/>
                <c:pt idx="0">
                  <c:v>R01</c:v>
                </c:pt>
                <c:pt idx="1">
                  <c:v>R02</c:v>
                </c:pt>
                <c:pt idx="2">
                  <c:v>R03</c:v>
                </c:pt>
                <c:pt idx="3">
                  <c:v>R04</c:v>
                </c:pt>
                <c:pt idx="4">
                  <c:v>R05</c:v>
                </c:pt>
              </c:strCache>
            </c:strRef>
          </c:cat>
          <c:val>
            <c:numRef>
              <c:f>'Pivot Table'!$K$46:$K$50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55C-44F3-A286-A11F927D5C3E}"/>
            </c:ext>
          </c:extLst>
        </c:ser>
        <c:ser>
          <c:idx val="1"/>
          <c:order val="1"/>
          <c:tx>
            <c:strRef>
              <c:f>'Pivot Table'!$M$45</c:f>
              <c:strCache>
                <c:ptCount val="1"/>
                <c:pt idx="0">
                  <c:v>sel.amount</c:v>
                </c:pt>
              </c:strCache>
            </c:strRef>
          </c:tx>
          <c:spPr>
            <a:gradFill flip="none" rotWithShape="1">
              <a:gsLst>
                <a:gs pos="100000">
                  <a:srgbClr val="FF4D00">
                    <a:alpha val="70000"/>
                  </a:srgbClr>
                </a:gs>
                <a:gs pos="0">
                  <a:srgbClr val="FF3300"/>
                </a:gs>
              </a:gsLst>
              <a:lin ang="0" scaled="0"/>
              <a:tileRect/>
            </a:gradFill>
            <a:ln>
              <a:noFill/>
            </a:ln>
            <a:effectLst/>
          </c:spPr>
          <c:invertIfNegative val="0"/>
          <c:val>
            <c:numRef>
              <c:f>'Pivot Table'!$M$46:$M$50</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455C-44F3-A286-A11F927D5C3E}"/>
            </c:ext>
          </c:extLst>
        </c:ser>
        <c:dLbls>
          <c:showLegendKey val="0"/>
          <c:showVal val="0"/>
          <c:showCatName val="0"/>
          <c:showSerName val="0"/>
          <c:showPercent val="0"/>
          <c:showBubbleSize val="0"/>
        </c:dLbls>
        <c:gapWidth val="25"/>
        <c:overlap val="100"/>
        <c:axId val="795374768"/>
        <c:axId val="795357488"/>
      </c:barChart>
      <c:catAx>
        <c:axId val="795374768"/>
        <c:scaling>
          <c:orientation val="maxMin"/>
        </c:scaling>
        <c:delete val="1"/>
        <c:axPos val="l"/>
        <c:numFmt formatCode="General" sourceLinked="1"/>
        <c:majorTickMark val="none"/>
        <c:minorTickMark val="none"/>
        <c:tickLblPos val="nextTo"/>
        <c:crossAx val="795357488"/>
        <c:crosses val="autoZero"/>
        <c:auto val="1"/>
        <c:lblAlgn val="ctr"/>
        <c:lblOffset val="100"/>
        <c:noMultiLvlLbl val="0"/>
      </c:catAx>
      <c:valAx>
        <c:axId val="795357488"/>
        <c:scaling>
          <c:orientation val="minMax"/>
        </c:scaling>
        <c:delete val="1"/>
        <c:axPos val="t"/>
        <c:numFmt formatCode="&quot;$&quot;#,###.0,\k" sourceLinked="1"/>
        <c:majorTickMark val="none"/>
        <c:minorTickMark val="none"/>
        <c:tickLblPos val="nextTo"/>
        <c:crossAx val="79537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V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 Table!male vs female</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FFCC66"/>
                </a:solidFill>
                <a:latin typeface="Aptos ExtraBold" panose="020B0004020202020204" pitchFamily="34" charset="0"/>
              </a:rPr>
              <a:t>Female</a:t>
            </a:r>
            <a:r>
              <a:rPr lang="en-US" sz="1800" b="1" baseline="0">
                <a:solidFill>
                  <a:srgbClr val="FF3300"/>
                </a:solidFill>
                <a:latin typeface="Aptos ExtraBold" panose="020B0004020202020204" pitchFamily="34" charset="0"/>
              </a:rPr>
              <a:t> </a:t>
            </a:r>
            <a:r>
              <a:rPr lang="en-US" sz="1800" b="1" baseline="0">
                <a:latin typeface="Aptos ExtraBold" panose="020B0004020202020204" pitchFamily="34" charset="0"/>
              </a:rPr>
              <a:t>vs </a:t>
            </a:r>
            <a:r>
              <a:rPr lang="en-US" sz="1800" b="1" baseline="0">
                <a:solidFill>
                  <a:srgbClr val="FF3300"/>
                </a:solidFill>
                <a:latin typeface="Aptos ExtraBold" panose="020B0004020202020204" pitchFamily="34" charset="0"/>
              </a:rPr>
              <a:t>Male</a:t>
            </a:r>
            <a:r>
              <a:rPr lang="en-US" sz="1800" b="1" baseline="0">
                <a:latin typeface="Aptos ExtraBold" panose="020B0004020202020204" pitchFamily="34" charset="0"/>
              </a:rPr>
              <a:t> Callers</a:t>
            </a:r>
            <a:endParaRPr lang="en-US" sz="1800" b="1">
              <a:latin typeface="Aptos ExtraBold" panose="020B00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5000">
                <a:srgbClr val="C00000">
                  <a:alpha val="95000"/>
                </a:srgbClr>
              </a:gs>
              <a:gs pos="0">
                <a:srgbClr val="FF6600">
                  <a:alpha val="60000"/>
                </a:srgbClr>
              </a:gs>
            </a:gsLst>
            <a:lin ang="5400000" scaled="1"/>
          </a:gradFill>
          <a:ln>
            <a:noFill/>
          </a:ln>
          <a:effectLst/>
        </c:spPr>
        <c:marker>
          <c:symbol val="none"/>
        </c:marker>
        <c:dLbl>
          <c:idx val="0"/>
          <c:spPr>
            <a:solidFill>
              <a:schemeClr val="bg1">
                <a:alpha val="67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VC"/>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a:gsLst>
              <a:gs pos="60000">
                <a:srgbClr val="FF6600">
                  <a:lumMod val="100000"/>
                </a:srgbClr>
              </a:gs>
              <a:gs pos="100000">
                <a:srgbClr val="FF6600">
                  <a:alpha val="70000"/>
                </a:srgbClr>
              </a:gs>
            </a:gsLst>
            <a:lin ang="5400000" scaled="1"/>
          </a:gradFill>
          <a:ln>
            <a:noFill/>
          </a:ln>
          <a:effectLst/>
        </c:spPr>
        <c:marker>
          <c:symbol val="none"/>
        </c:marker>
        <c:dLbl>
          <c:idx val="0"/>
          <c:spPr>
            <a:solidFill>
              <a:schemeClr val="bg1">
                <a:alpha val="67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VC"/>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gradFill>
            <a:gsLst>
              <a:gs pos="60000">
                <a:srgbClr val="FF6600">
                  <a:lumMod val="100000"/>
                </a:srgbClr>
              </a:gs>
              <a:gs pos="100000">
                <a:srgbClr val="FF6600">
                  <a:alpha val="70000"/>
                </a:srgbClr>
              </a:gs>
            </a:gsLst>
            <a:lin ang="5400000" scaled="1"/>
          </a:gradFill>
          <a:ln>
            <a:noFill/>
          </a:ln>
          <a:effectLst/>
        </c:spPr>
      </c:pivotFmt>
    </c:pivotFmts>
    <c:plotArea>
      <c:layout/>
      <c:barChart>
        <c:barDir val="col"/>
        <c:grouping val="percentStacked"/>
        <c:varyColors val="0"/>
        <c:ser>
          <c:idx val="0"/>
          <c:order val="0"/>
          <c:tx>
            <c:strRef>
              <c:f>'Pivot Table'!$D$67:$D$68</c:f>
              <c:strCache>
                <c:ptCount val="1"/>
                <c:pt idx="0">
                  <c:v>Female</c:v>
                </c:pt>
              </c:strCache>
            </c:strRef>
          </c:tx>
          <c:spPr>
            <a:gradFill>
              <a:gsLst>
                <a:gs pos="15000">
                  <a:srgbClr val="C00000">
                    <a:alpha val="95000"/>
                  </a:srgbClr>
                </a:gs>
                <a:gs pos="0">
                  <a:srgbClr val="FF6600">
                    <a:alpha val="60000"/>
                  </a:srgbClr>
                </a:gs>
              </a:gsLst>
              <a:lin ang="5400000" scaled="1"/>
            </a:gradFill>
            <a:ln>
              <a:noFill/>
            </a:ln>
            <a:effectLst/>
          </c:spPr>
          <c:invertIfNegative val="0"/>
          <c:dLbls>
            <c:spPr>
              <a:solidFill>
                <a:schemeClr val="bg1">
                  <a:alpha val="67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VC"/>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Table'!$C$69:$C$72</c:f>
              <c:strCache>
                <c:ptCount val="3"/>
                <c:pt idx="0">
                  <c:v>Cincinnati</c:v>
                </c:pt>
                <c:pt idx="1">
                  <c:v>Cleveland</c:v>
                </c:pt>
                <c:pt idx="2">
                  <c:v>Columbus</c:v>
                </c:pt>
              </c:strCache>
            </c:strRef>
          </c:cat>
          <c:val>
            <c:numRef>
              <c:f>'Pivot Table'!$D$69:$D$72</c:f>
              <c:numCache>
                <c:formatCode>#,##0</c:formatCode>
                <c:ptCount val="3"/>
                <c:pt idx="0">
                  <c:v>144</c:v>
                </c:pt>
                <c:pt idx="1">
                  <c:v>326</c:v>
                </c:pt>
                <c:pt idx="2">
                  <c:v>129</c:v>
                </c:pt>
              </c:numCache>
            </c:numRef>
          </c:val>
          <c:extLst>
            <c:ext xmlns:c16="http://schemas.microsoft.com/office/drawing/2014/chart" uri="{C3380CC4-5D6E-409C-BE32-E72D297353CC}">
              <c16:uniqueId val="{00000000-1D9B-4F88-87E2-D9057934F723}"/>
            </c:ext>
          </c:extLst>
        </c:ser>
        <c:ser>
          <c:idx val="1"/>
          <c:order val="1"/>
          <c:tx>
            <c:strRef>
              <c:f>'Pivot Table'!$E$67:$E$68</c:f>
              <c:strCache>
                <c:ptCount val="1"/>
                <c:pt idx="0">
                  <c:v>Male</c:v>
                </c:pt>
              </c:strCache>
            </c:strRef>
          </c:tx>
          <c:spPr>
            <a:gradFill>
              <a:gsLst>
                <a:gs pos="60000">
                  <a:srgbClr val="FF6600">
                    <a:lumMod val="100000"/>
                  </a:srgbClr>
                </a:gs>
                <a:gs pos="100000">
                  <a:srgbClr val="FF6600">
                    <a:alpha val="70000"/>
                  </a:srgbClr>
                </a:gs>
              </a:gsLst>
              <a:lin ang="5400000" scaled="1"/>
            </a:gradFill>
            <a:ln>
              <a:noFill/>
            </a:ln>
            <a:effectLst/>
          </c:spPr>
          <c:invertIfNegative val="0"/>
          <c:dLbls>
            <c:spPr>
              <a:solidFill>
                <a:schemeClr val="bg1">
                  <a:alpha val="67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VC"/>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Table'!$C$69:$C$72</c:f>
              <c:strCache>
                <c:ptCount val="3"/>
                <c:pt idx="0">
                  <c:v>Cincinnati</c:v>
                </c:pt>
                <c:pt idx="1">
                  <c:v>Cleveland</c:v>
                </c:pt>
                <c:pt idx="2">
                  <c:v>Columbus</c:v>
                </c:pt>
              </c:strCache>
            </c:strRef>
          </c:cat>
          <c:val>
            <c:numRef>
              <c:f>'Pivot Table'!$E$69:$E$72</c:f>
              <c:numCache>
                <c:formatCode>#,##0</c:formatCode>
                <c:ptCount val="3"/>
                <c:pt idx="0">
                  <c:v>132</c:v>
                </c:pt>
                <c:pt idx="1">
                  <c:v>63</c:v>
                </c:pt>
                <c:pt idx="2">
                  <c:v>206</c:v>
                </c:pt>
              </c:numCache>
            </c:numRef>
          </c:val>
          <c:extLst>
            <c:ext xmlns:c16="http://schemas.microsoft.com/office/drawing/2014/chart" uri="{C3380CC4-5D6E-409C-BE32-E72D297353CC}">
              <c16:uniqueId val="{00000001-1D9B-4F88-87E2-D9057934F723}"/>
            </c:ext>
          </c:extLst>
        </c:ser>
        <c:dLbls>
          <c:showLegendKey val="0"/>
          <c:showVal val="0"/>
          <c:showCatName val="0"/>
          <c:showSerName val="0"/>
          <c:showPercent val="0"/>
          <c:showBubbleSize val="0"/>
        </c:dLbls>
        <c:gapWidth val="20"/>
        <c:overlap val="100"/>
        <c:axId val="1774617215"/>
        <c:axId val="1774619135"/>
      </c:barChart>
      <c:catAx>
        <c:axId val="1774617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C"/>
          </a:p>
        </c:txPr>
        <c:crossAx val="1774619135"/>
        <c:crosses val="autoZero"/>
        <c:auto val="1"/>
        <c:lblAlgn val="ctr"/>
        <c:lblOffset val="100"/>
        <c:noMultiLvlLbl val="0"/>
      </c:catAx>
      <c:valAx>
        <c:axId val="1774619135"/>
        <c:scaling>
          <c:orientation val="minMax"/>
        </c:scaling>
        <c:delete val="1"/>
        <c:axPos val="l"/>
        <c:numFmt formatCode="0%" sourceLinked="1"/>
        <c:majorTickMark val="none"/>
        <c:minorTickMark val="none"/>
        <c:tickLblPos val="nextTo"/>
        <c:crossAx val="177461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 Table!PivotTable2</c:name>
    <c:fmtId val="5"/>
  </c:pivotSource>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mn-lt"/>
                <a:ea typeface="+mn-ea"/>
                <a:cs typeface="+mn-cs"/>
              </a:defRPr>
            </a:pPr>
            <a:r>
              <a:rPr lang="en-US" sz="2000" b="1">
                <a:solidFill>
                  <a:schemeClr val="accent1">
                    <a:lumMod val="50000"/>
                  </a:schemeClr>
                </a:solidFill>
              </a:rPr>
              <a:t>Ratings</a:t>
            </a:r>
          </a:p>
        </c:rich>
      </c:tx>
      <c:layout>
        <c:manualLayout>
          <c:xMode val="edge"/>
          <c:yMode val="edge"/>
          <c:x val="1.6664548022598865E-2"/>
          <c:y val="2.203525988593716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mn-lt"/>
              <a:ea typeface="+mn-ea"/>
              <a:cs typeface="+mn-cs"/>
            </a:defRPr>
          </a:pPr>
          <a:endParaRPr lang="en-VC"/>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alpha val="84706"/>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C"/>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Table'!$D$77</c:f>
              <c:strCache>
                <c:ptCount val="1"/>
                <c:pt idx="0">
                  <c:v>Total</c:v>
                </c:pt>
              </c:strCache>
            </c:strRef>
          </c:tx>
          <c:spPr>
            <a:solidFill>
              <a:schemeClr val="accent1">
                <a:lumMod val="75000"/>
                <a:alpha val="84706"/>
              </a:schemeClr>
            </a:solidFill>
            <a:ln>
              <a:noFill/>
            </a:ln>
            <a:effectLst/>
          </c:spPr>
          <c:invertIfNegative val="0"/>
          <c:cat>
            <c:strRef>
              <c:f>'Pivot Table'!$C$78:$C$83</c:f>
              <c:strCache>
                <c:ptCount val="5"/>
                <c:pt idx="0">
                  <c:v>1</c:v>
                </c:pt>
                <c:pt idx="1">
                  <c:v>2</c:v>
                </c:pt>
                <c:pt idx="2">
                  <c:v>3</c:v>
                </c:pt>
                <c:pt idx="3">
                  <c:v>4</c:v>
                </c:pt>
                <c:pt idx="4">
                  <c:v>5</c:v>
                </c:pt>
              </c:strCache>
            </c:strRef>
          </c:cat>
          <c:val>
            <c:numRef>
              <c:f>'Pivot Table'!$D$78:$D$83</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3F32-4895-8465-0418AFE306A1}"/>
            </c:ext>
          </c:extLst>
        </c:ser>
        <c:dLbls>
          <c:showLegendKey val="0"/>
          <c:showVal val="0"/>
          <c:showCatName val="0"/>
          <c:showSerName val="0"/>
          <c:showPercent val="0"/>
          <c:showBubbleSize val="0"/>
        </c:dLbls>
        <c:gapWidth val="25"/>
        <c:overlap val="25"/>
        <c:axId val="1458336847"/>
        <c:axId val="1458370927"/>
      </c:barChart>
      <c:catAx>
        <c:axId val="14583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VC"/>
          </a:p>
        </c:txPr>
        <c:crossAx val="1458370927"/>
        <c:crosses val="autoZero"/>
        <c:auto val="1"/>
        <c:lblAlgn val="ctr"/>
        <c:lblOffset val="100"/>
        <c:noMultiLvlLbl val="0"/>
      </c:catAx>
      <c:valAx>
        <c:axId val="1458370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VC"/>
          </a:p>
        </c:txPr>
        <c:crossAx val="145833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C"/>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chart" Target="../charts/chart3.xml"/><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7.svg"/><Relationship Id="rId2" Type="http://schemas.openxmlformats.org/officeDocument/2006/relationships/image" Target="../media/image9.svg"/><Relationship Id="rId16" Type="http://schemas.openxmlformats.org/officeDocument/2006/relationships/chart" Target="../charts/chart6.xml"/><Relationship Id="rId1" Type="http://schemas.openxmlformats.org/officeDocument/2006/relationships/image" Target="../media/image8.png"/><Relationship Id="rId6" Type="http://schemas.openxmlformats.org/officeDocument/2006/relationships/image" Target="../media/image13.svg"/><Relationship Id="rId11" Type="http://schemas.openxmlformats.org/officeDocument/2006/relationships/image" Target="../media/image16.png"/><Relationship Id="rId5" Type="http://schemas.openxmlformats.org/officeDocument/2006/relationships/image" Target="../media/image12.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11.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1128056"/>
          <a:ext cx="409650" cy="408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8</xdr:col>
      <xdr:colOff>620485</xdr:colOff>
      <xdr:row>19</xdr:row>
      <xdr:rowOff>70756</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4955673D-8065-486C-8A55-722EC3D1649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155180" y="1577340"/>
              <a:ext cx="620485" cy="1823356"/>
            </a:xfrm>
            <a:prstGeom prst="rect">
              <a:avLst/>
            </a:prstGeom>
            <a:solidFill>
              <a:prstClr val="white"/>
            </a:solidFill>
            <a:ln w="1">
              <a:solidFill>
                <a:prstClr val="green"/>
              </a:solidFill>
            </a:ln>
          </xdr:spPr>
          <xdr:txBody>
            <a:bodyPr vertOverflow="clip" horzOverflow="clip"/>
            <a:lstStyle/>
            <a:p>
              <a:r>
                <a:rPr lang="en-V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6</xdr:row>
      <xdr:rowOff>14818</xdr:rowOff>
    </xdr:from>
    <xdr:to>
      <xdr:col>4</xdr:col>
      <xdr:colOff>318144</xdr:colOff>
      <xdr:row>28</xdr:row>
      <xdr:rowOff>13854</xdr:rowOff>
    </xdr:to>
    <xdr:grpSp>
      <xdr:nvGrpSpPr>
        <xdr:cNvPr id="16" name="Group 15">
          <a:extLst>
            <a:ext uri="{FF2B5EF4-FFF2-40B4-BE49-F238E27FC236}">
              <a16:creationId xmlns:a16="http://schemas.microsoft.com/office/drawing/2014/main" id="{6809CC78-96AC-57C7-1E7F-D2954FEC4004}"/>
            </a:ext>
          </a:extLst>
        </xdr:cNvPr>
        <xdr:cNvGrpSpPr/>
      </xdr:nvGrpSpPr>
      <xdr:grpSpPr>
        <a:xfrm>
          <a:off x="272143" y="1223132"/>
          <a:ext cx="1667972" cy="4081179"/>
          <a:chOff x="311385" y="1036866"/>
          <a:chExt cx="1654575" cy="3867651"/>
        </a:xfrm>
      </xdr:grpSpPr>
      <xdr:sp macro="" textlink="'Pivot Table'!E6">
        <xdr:nvSpPr>
          <xdr:cNvPr id="40" name="Rectangle 39">
            <a:extLst>
              <a:ext uri="{FF2B5EF4-FFF2-40B4-BE49-F238E27FC236}">
                <a16:creationId xmlns:a16="http://schemas.microsoft.com/office/drawing/2014/main" id="{DB5DFCAA-3042-4C5E-BFC4-B27726881CF8}"/>
              </a:ext>
            </a:extLst>
          </xdr:cNvPr>
          <xdr:cNvSpPr/>
        </xdr:nvSpPr>
        <xdr:spPr>
          <a:xfrm>
            <a:off x="311385" y="3723492"/>
            <a:ext cx="1645224" cy="1181025"/>
          </a:xfrm>
          <a:prstGeom prst="rect">
            <a:avLst/>
          </a:prstGeom>
          <a:gradFill>
            <a:gsLst>
              <a:gs pos="78000">
                <a:srgbClr val="FF3300">
                  <a:lumMod val="100000"/>
                </a:srgbClr>
              </a:gs>
              <a:gs pos="0">
                <a:srgbClr val="FF6600"/>
              </a:gs>
            </a:gsLst>
            <a:lin ang="0" scaled="0"/>
          </a:gra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6D818A6-1565-4AA5-9CE1-78C9D25CFD66}" type="TxLink">
              <a:rPr lang="en-US" sz="2800" b="0" i="0" u="none" strike="noStrike">
                <a:solidFill>
                  <a:schemeClr val="bg2"/>
                </a:solidFill>
                <a:latin typeface="Aptos ExtraBold" panose="020B0004020202020204" pitchFamily="34" charset="0"/>
                <a:ea typeface="+mn-ea"/>
                <a:cs typeface="Arial"/>
              </a:rPr>
              <a:pPr marL="0" indent="0" algn="ctr"/>
              <a:t>89,850</a:t>
            </a:fld>
            <a:endParaRPr lang="en-US" sz="2800" b="0" i="0" u="none" strike="noStrike">
              <a:solidFill>
                <a:schemeClr val="bg2"/>
              </a:solidFill>
              <a:latin typeface="Aptos ExtraBold" panose="020B0004020202020204" pitchFamily="34" charset="0"/>
              <a:ea typeface="+mn-ea"/>
              <a:cs typeface="Arial"/>
            </a:endParaRPr>
          </a:p>
        </xdr:txBody>
      </xdr:sp>
      <xdr:sp macro="" textlink="">
        <xdr:nvSpPr>
          <xdr:cNvPr id="41" name="TextBox 40">
            <a:extLst>
              <a:ext uri="{FF2B5EF4-FFF2-40B4-BE49-F238E27FC236}">
                <a16:creationId xmlns:a16="http://schemas.microsoft.com/office/drawing/2014/main" id="{FA336474-7999-4C9E-8604-2AE3CE0BEB2B}"/>
              </a:ext>
            </a:extLst>
          </xdr:cNvPr>
          <xdr:cNvSpPr txBox="1"/>
        </xdr:nvSpPr>
        <xdr:spPr>
          <a:xfrm>
            <a:off x="552963" y="3735507"/>
            <a:ext cx="11887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solidFill>
                  <a:schemeClr val="bg2"/>
                </a:solidFill>
                <a:latin typeface="Aptos ExtraBold" panose="020B0004020202020204" pitchFamily="34" charset="0"/>
              </a:rPr>
              <a:t>Duration</a:t>
            </a:r>
            <a:endParaRPr lang="en-VC" sz="1400">
              <a:solidFill>
                <a:schemeClr val="bg2"/>
              </a:solidFill>
              <a:latin typeface="Aptos ExtraBold" panose="020B0004020202020204" pitchFamily="34" charset="0"/>
            </a:endParaRPr>
          </a:p>
        </xdr:txBody>
      </xdr:sp>
      <xdr:sp macro="" textlink="'Pivot Table'!E13">
        <xdr:nvSpPr>
          <xdr:cNvPr id="42" name="TextBox 41">
            <a:extLst>
              <a:ext uri="{FF2B5EF4-FFF2-40B4-BE49-F238E27FC236}">
                <a16:creationId xmlns:a16="http://schemas.microsoft.com/office/drawing/2014/main" id="{17D33A14-FC6B-4F8D-B326-8F80EC8BE5CA}"/>
              </a:ext>
            </a:extLst>
          </xdr:cNvPr>
          <xdr:cNvSpPr txBox="1"/>
        </xdr:nvSpPr>
        <xdr:spPr>
          <a:xfrm>
            <a:off x="841433" y="4563439"/>
            <a:ext cx="6427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4A4B04A-1B4A-46D2-B8FB-3760EF04F3EF}" type="TxLink">
              <a:rPr lang="en-US" sz="1200" b="0" i="0" u="none" strike="noStrike">
                <a:solidFill>
                  <a:schemeClr val="bg2"/>
                </a:solidFill>
                <a:latin typeface="Aptos ExtraBold" panose="020B0004020202020204" pitchFamily="34" charset="0"/>
                <a:ea typeface="+mn-ea"/>
                <a:cs typeface="Arial"/>
              </a:rPr>
              <a:pPr marL="0" indent="0"/>
              <a:t>17,807</a:t>
            </a:fld>
            <a:endParaRPr lang="en-VC" sz="1200" b="0" i="0" u="none" strike="noStrike">
              <a:solidFill>
                <a:schemeClr val="bg2"/>
              </a:solidFill>
              <a:latin typeface="Aptos ExtraBold" panose="020B0004020202020204" pitchFamily="34" charset="0"/>
              <a:ea typeface="+mn-ea"/>
              <a:cs typeface="Arial"/>
            </a:endParaRPr>
          </a:p>
        </xdr:txBody>
      </xdr:sp>
      <xdr:grpSp>
        <xdr:nvGrpSpPr>
          <xdr:cNvPr id="14" name="Group 13">
            <a:extLst>
              <a:ext uri="{FF2B5EF4-FFF2-40B4-BE49-F238E27FC236}">
                <a16:creationId xmlns:a16="http://schemas.microsoft.com/office/drawing/2014/main" id="{BFB0805C-B8A0-A4FF-4230-9291BAF567F7}"/>
              </a:ext>
            </a:extLst>
          </xdr:cNvPr>
          <xdr:cNvGrpSpPr/>
        </xdr:nvGrpSpPr>
        <xdr:grpSpPr>
          <a:xfrm>
            <a:off x="311751" y="1036866"/>
            <a:ext cx="1654209" cy="2501828"/>
            <a:chOff x="311751" y="1036866"/>
            <a:chExt cx="1654209" cy="2501828"/>
          </a:xfrm>
        </xdr:grpSpPr>
        <xdr:sp macro="" textlink="'Pivot Table'!D6">
          <xdr:nvSpPr>
            <xdr:cNvPr id="5" name="Rectangle 4">
              <a:extLst>
                <a:ext uri="{FF2B5EF4-FFF2-40B4-BE49-F238E27FC236}">
                  <a16:creationId xmlns:a16="http://schemas.microsoft.com/office/drawing/2014/main" id="{B9920CDE-2DAC-6B13-AA4B-1EB9B1B6FC9F}"/>
                </a:ext>
              </a:extLst>
            </xdr:cNvPr>
            <xdr:cNvSpPr/>
          </xdr:nvSpPr>
          <xdr:spPr>
            <a:xfrm>
              <a:off x="312838" y="2327797"/>
              <a:ext cx="1653122" cy="1210897"/>
            </a:xfrm>
            <a:prstGeom prst="rect">
              <a:avLst/>
            </a:prstGeom>
            <a:gradFill>
              <a:gsLst>
                <a:gs pos="78000">
                  <a:srgbClr val="FF3300">
                    <a:lumMod val="100000"/>
                  </a:srgbClr>
                </a:gs>
                <a:gs pos="0">
                  <a:srgbClr val="FF6600"/>
                </a:gs>
              </a:gsLst>
              <a:lin ang="0" scaled="0"/>
            </a:gra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3D29F87-BC85-429E-9804-A440CF23ABD3}" type="TxLink">
                <a:rPr lang="en-US" sz="2800" b="0" i="0" u="none" strike="noStrike">
                  <a:solidFill>
                    <a:schemeClr val="bg2"/>
                  </a:solidFill>
                  <a:latin typeface="Aptos ExtraBold" panose="020B0004020202020204" pitchFamily="34" charset="0"/>
                  <a:ea typeface="+mn-ea"/>
                  <a:cs typeface="Arial"/>
                </a:rPr>
                <a:pPr marL="0" indent="0" algn="ctr"/>
                <a:t>$96,623</a:t>
              </a:fld>
              <a:endParaRPr lang="en-VC" sz="2800" b="0" i="0" u="none" strike="noStrike">
                <a:solidFill>
                  <a:schemeClr val="bg2"/>
                </a:solidFill>
                <a:latin typeface="Aptos ExtraBold" panose="020B0004020202020204" pitchFamily="34" charset="0"/>
                <a:ea typeface="+mn-ea"/>
                <a:cs typeface="Arial"/>
              </a:endParaRPr>
            </a:p>
          </xdr:txBody>
        </xdr:sp>
        <xdr:grpSp>
          <xdr:nvGrpSpPr>
            <xdr:cNvPr id="11" name="Group 10">
              <a:extLst>
                <a:ext uri="{FF2B5EF4-FFF2-40B4-BE49-F238E27FC236}">
                  <a16:creationId xmlns:a16="http://schemas.microsoft.com/office/drawing/2014/main" id="{3AE32489-25A0-EC36-0416-89C0FE85BCF4}"/>
                </a:ext>
              </a:extLst>
            </xdr:cNvPr>
            <xdr:cNvGrpSpPr/>
          </xdr:nvGrpSpPr>
          <xdr:grpSpPr>
            <a:xfrm>
              <a:off x="311751" y="1036866"/>
              <a:ext cx="1645224" cy="1184593"/>
              <a:chOff x="311751" y="1036866"/>
              <a:chExt cx="1645224" cy="1184593"/>
            </a:xfrm>
          </xdr:grpSpPr>
          <xdr:sp macro="" textlink="'Pivot Table'!C6">
            <xdr:nvSpPr>
              <xdr:cNvPr id="3" name="Rectangle 2">
                <a:extLst>
                  <a:ext uri="{FF2B5EF4-FFF2-40B4-BE49-F238E27FC236}">
                    <a16:creationId xmlns:a16="http://schemas.microsoft.com/office/drawing/2014/main" id="{915FB487-E84B-5B5F-3891-C45594385494}"/>
                  </a:ext>
                </a:extLst>
              </xdr:cNvPr>
              <xdr:cNvSpPr/>
            </xdr:nvSpPr>
            <xdr:spPr>
              <a:xfrm>
                <a:off x="311751" y="1036866"/>
                <a:ext cx="1645224" cy="1184593"/>
              </a:xfrm>
              <a:prstGeom prst="rect">
                <a:avLst/>
              </a:prstGeom>
              <a:gradFill>
                <a:gsLst>
                  <a:gs pos="78000">
                    <a:srgbClr val="FF3300">
                      <a:lumMod val="100000"/>
                    </a:srgbClr>
                  </a:gs>
                  <a:gs pos="0">
                    <a:srgbClr val="FF6600"/>
                  </a:gs>
                </a:gsLst>
                <a:lin ang="0" scaled="0"/>
              </a:gra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505DBC-53BB-4D48-9333-186F4069E720}" type="TxLink">
                  <a:rPr lang="en-US" sz="2800" b="0" i="0" u="none" strike="noStrike">
                    <a:solidFill>
                      <a:schemeClr val="bg2"/>
                    </a:solidFill>
                    <a:latin typeface="Aptos ExtraBold" panose="020B0004020202020204" pitchFamily="34" charset="0"/>
                    <a:cs typeface="Arial"/>
                  </a:rPr>
                  <a:pPr algn="ctr"/>
                  <a:t>1,000</a:t>
                </a:fld>
                <a:endParaRPr lang="en-US" sz="2800">
                  <a:solidFill>
                    <a:schemeClr val="bg2"/>
                  </a:solidFill>
                  <a:latin typeface="Aptos ExtraBold" panose="020B0004020202020204" pitchFamily="34" charset="0"/>
                </a:endParaRPr>
              </a:p>
            </xdr:txBody>
          </xdr:sp>
          <xdr:sp macro="" textlink="">
            <xdr:nvSpPr>
              <xdr:cNvPr id="6" name="TextBox 5">
                <a:extLst>
                  <a:ext uri="{FF2B5EF4-FFF2-40B4-BE49-F238E27FC236}">
                    <a16:creationId xmlns:a16="http://schemas.microsoft.com/office/drawing/2014/main" id="{026E0102-F433-AE57-9D57-1B90DDF1F574}"/>
                  </a:ext>
                </a:extLst>
              </xdr:cNvPr>
              <xdr:cNvSpPr txBox="1"/>
            </xdr:nvSpPr>
            <xdr:spPr>
              <a:xfrm>
                <a:off x="799346" y="1095188"/>
                <a:ext cx="6400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solidFill>
                      <a:schemeClr val="bg2"/>
                    </a:solidFill>
                    <a:latin typeface="Aptos ExtraBold" panose="020B0004020202020204" pitchFamily="34" charset="0"/>
                  </a:rPr>
                  <a:t>Calls</a:t>
                </a:r>
                <a:endParaRPr lang="en-VC" sz="1400">
                  <a:solidFill>
                    <a:schemeClr val="bg2"/>
                  </a:solidFill>
                  <a:latin typeface="Aptos ExtraBold" panose="020B0004020202020204" pitchFamily="34" charset="0"/>
                </a:endParaRPr>
              </a:p>
            </xdr:txBody>
          </xdr:sp>
          <xdr:pic>
            <xdr:nvPicPr>
              <xdr:cNvPr id="8" name="Graphic 7" descr="Receiver with solid fill">
                <a:extLst>
                  <a:ext uri="{FF2B5EF4-FFF2-40B4-BE49-F238E27FC236}">
                    <a16:creationId xmlns:a16="http://schemas.microsoft.com/office/drawing/2014/main" id="{99E32F17-B143-438E-956F-4B1E646969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995500">
                <a:off x="438352" y="1149996"/>
                <a:ext cx="198616" cy="191813"/>
              </a:xfrm>
              <a:prstGeom prst="rect">
                <a:avLst/>
              </a:prstGeom>
            </xdr:spPr>
          </xdr:pic>
          <xdr:sp macro="" textlink="'Pivot Table'!C13">
            <xdr:nvSpPr>
              <xdr:cNvPr id="9" name="TextBox 8">
                <a:extLst>
                  <a:ext uri="{FF2B5EF4-FFF2-40B4-BE49-F238E27FC236}">
                    <a16:creationId xmlns:a16="http://schemas.microsoft.com/office/drawing/2014/main" id="{1AF8E8F9-2EC3-AB1E-6567-130604758C7D}"/>
                  </a:ext>
                </a:extLst>
              </xdr:cNvPr>
              <xdr:cNvSpPr txBox="1"/>
            </xdr:nvSpPr>
            <xdr:spPr>
              <a:xfrm>
                <a:off x="896228" y="1880382"/>
                <a:ext cx="5431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CC424AA-F6BD-4ADA-8F46-EEF7C4796AA5}" type="TxLink">
                  <a:rPr lang="en-US" sz="1400" b="0" i="0" u="none" strike="noStrike">
                    <a:solidFill>
                      <a:schemeClr val="bg2"/>
                    </a:solidFill>
                    <a:latin typeface="Aptos ExtraBold" panose="020B0004020202020204" pitchFamily="34" charset="0"/>
                    <a:cs typeface="Arial"/>
                  </a:rPr>
                  <a:pPr/>
                  <a:t>186</a:t>
                </a:fld>
                <a:endParaRPr lang="en-VC" sz="1400">
                  <a:solidFill>
                    <a:schemeClr val="bg2"/>
                  </a:solidFill>
                  <a:latin typeface="Aptos ExtraBold" panose="020B0004020202020204" pitchFamily="34" charset="0"/>
                </a:endParaRPr>
              </a:p>
            </xdr:txBody>
          </xdr:sp>
        </xdr:grpSp>
        <xdr:sp macro="" textlink="">
          <xdr:nvSpPr>
            <xdr:cNvPr id="38" name="TextBox 37">
              <a:extLst>
                <a:ext uri="{FF2B5EF4-FFF2-40B4-BE49-F238E27FC236}">
                  <a16:creationId xmlns:a16="http://schemas.microsoft.com/office/drawing/2014/main" id="{391769A2-57BD-CB1C-46E5-9889DC669A8E}"/>
                </a:ext>
              </a:extLst>
            </xdr:cNvPr>
            <xdr:cNvSpPr txBox="1"/>
          </xdr:nvSpPr>
          <xdr:spPr>
            <a:xfrm>
              <a:off x="422445" y="2376991"/>
              <a:ext cx="1500485" cy="255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ptos ExtraBold" panose="020B0004020202020204" pitchFamily="34" charset="0"/>
                </a:rPr>
                <a:t>Total</a:t>
              </a:r>
              <a:r>
                <a:rPr lang="en-US" sz="1400" baseline="0">
                  <a:solidFill>
                    <a:schemeClr val="bg1"/>
                  </a:solidFill>
                  <a:latin typeface="Aptos ExtraBold" panose="020B0004020202020204" pitchFamily="34" charset="0"/>
                </a:rPr>
                <a:t> </a:t>
              </a:r>
              <a:r>
                <a:rPr lang="en-US" sz="1400">
                  <a:solidFill>
                    <a:schemeClr val="bg1"/>
                  </a:solidFill>
                  <a:latin typeface="Aptos ExtraBold" panose="020B0004020202020204" pitchFamily="34" charset="0"/>
                </a:rPr>
                <a:t>Amount</a:t>
              </a:r>
            </a:p>
          </xdr:txBody>
        </xdr:sp>
        <xdr:sp macro="" textlink="'Pivot Table'!D13">
          <xdr:nvSpPr>
            <xdr:cNvPr id="39" name="TextBox 38">
              <a:extLst>
                <a:ext uri="{FF2B5EF4-FFF2-40B4-BE49-F238E27FC236}">
                  <a16:creationId xmlns:a16="http://schemas.microsoft.com/office/drawing/2014/main" id="{F14DCAC3-57B9-6396-2A68-44C421349A7B}"/>
                </a:ext>
              </a:extLst>
            </xdr:cNvPr>
            <xdr:cNvSpPr txBox="1"/>
          </xdr:nvSpPr>
          <xdr:spPr>
            <a:xfrm>
              <a:off x="759209" y="3182888"/>
              <a:ext cx="72494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83572B0-CFCA-4100-94EB-180CB04BAE80}" type="TxLink">
                <a:rPr lang="en-US" sz="1200" b="0" i="0" u="none" strike="noStrike">
                  <a:solidFill>
                    <a:schemeClr val="bg1"/>
                  </a:solidFill>
                  <a:latin typeface="Aptos ExtraBold" panose="020B0004020202020204" pitchFamily="34" charset="0"/>
                  <a:cs typeface="Arial"/>
                </a:rPr>
                <a:pPr algn="ctr"/>
                <a:t>$16,651</a:t>
              </a:fld>
              <a:endParaRPr lang="en-VC" sz="1200">
                <a:solidFill>
                  <a:schemeClr val="bg1"/>
                </a:solidFill>
                <a:latin typeface="Aptos ExtraBold" panose="020B0004020202020204" pitchFamily="34" charset="0"/>
              </a:endParaRPr>
            </a:p>
          </xdr:txBody>
        </xdr:sp>
        <xdr:pic>
          <xdr:nvPicPr>
            <xdr:cNvPr id="49" name="Graphic 48" descr="Shopping cart with solid fill">
              <a:extLst>
                <a:ext uri="{FF2B5EF4-FFF2-40B4-BE49-F238E27FC236}">
                  <a16:creationId xmlns:a16="http://schemas.microsoft.com/office/drawing/2014/main" id="{83F63BDE-3FA9-44CD-A1B9-3937C78BAA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3318" y="2394135"/>
              <a:ext cx="243182" cy="230834"/>
            </a:xfrm>
            <a:prstGeom prst="rect">
              <a:avLst/>
            </a:prstGeom>
          </xdr:spPr>
        </xdr:pic>
      </xdr:grpSp>
      <xdr:pic>
        <xdr:nvPicPr>
          <xdr:cNvPr id="50" name="Graphic 49" descr="Hourglass Finished with solid fill">
            <a:extLst>
              <a:ext uri="{FF2B5EF4-FFF2-40B4-BE49-F238E27FC236}">
                <a16:creationId xmlns:a16="http://schemas.microsoft.com/office/drawing/2014/main" id="{4A7FD082-92B2-4CA4-B949-02906F2241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9964" y="3790415"/>
            <a:ext cx="252213" cy="248529"/>
          </a:xfrm>
          <a:prstGeom prst="rect">
            <a:avLst/>
          </a:prstGeom>
        </xdr:spPr>
      </xdr:pic>
    </xdr:grpSp>
    <xdr:clientData/>
  </xdr:twoCellAnchor>
  <xdr:twoCellAnchor>
    <xdr:from>
      <xdr:col>2</xdr:col>
      <xdr:colOff>0</xdr:colOff>
      <xdr:row>29</xdr:row>
      <xdr:rowOff>0</xdr:rowOff>
    </xdr:from>
    <xdr:to>
      <xdr:col>4</xdr:col>
      <xdr:colOff>316691</xdr:colOff>
      <xdr:row>35</xdr:row>
      <xdr:rowOff>171995</xdr:rowOff>
    </xdr:to>
    <xdr:grpSp>
      <xdr:nvGrpSpPr>
        <xdr:cNvPr id="17" name="Group 16">
          <a:extLst>
            <a:ext uri="{FF2B5EF4-FFF2-40B4-BE49-F238E27FC236}">
              <a16:creationId xmlns:a16="http://schemas.microsoft.com/office/drawing/2014/main" id="{89F2BBF3-BA32-F23B-6880-3AEF124CAAD7}"/>
            </a:ext>
          </a:extLst>
        </xdr:cNvPr>
        <xdr:cNvGrpSpPr/>
      </xdr:nvGrpSpPr>
      <xdr:grpSpPr>
        <a:xfrm>
          <a:off x="272143" y="5475514"/>
          <a:ext cx="1666519" cy="1391195"/>
          <a:chOff x="309489" y="5086227"/>
          <a:chExt cx="1653122" cy="1223624"/>
        </a:xfrm>
      </xdr:grpSpPr>
      <xdr:sp macro="" textlink="'Pivot Table'!F6">
        <xdr:nvSpPr>
          <xdr:cNvPr id="43" name="Rectangle 42">
            <a:extLst>
              <a:ext uri="{FF2B5EF4-FFF2-40B4-BE49-F238E27FC236}">
                <a16:creationId xmlns:a16="http://schemas.microsoft.com/office/drawing/2014/main" id="{26D20088-2AC0-4582-A1C8-6B514E513EA6}"/>
              </a:ext>
            </a:extLst>
          </xdr:cNvPr>
          <xdr:cNvSpPr/>
        </xdr:nvSpPr>
        <xdr:spPr>
          <a:xfrm>
            <a:off x="309489" y="5099539"/>
            <a:ext cx="1653122" cy="1210312"/>
          </a:xfrm>
          <a:prstGeom prst="rect">
            <a:avLst/>
          </a:prstGeom>
          <a:gradFill>
            <a:gsLst>
              <a:gs pos="78000">
                <a:srgbClr val="FF3300">
                  <a:lumMod val="100000"/>
                </a:srgbClr>
              </a:gs>
              <a:gs pos="0">
                <a:srgbClr val="FF6600"/>
              </a:gs>
            </a:gsLst>
            <a:lin ang="0" scaled="0"/>
          </a:gra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B54B86A-EDEA-4C37-AAFC-ECBAAF348485}" type="TxLink">
              <a:rPr lang="en-US" sz="2800" b="0" i="0" u="none" strike="noStrike">
                <a:solidFill>
                  <a:schemeClr val="bg2"/>
                </a:solidFill>
                <a:latin typeface="Aptos ExtraBold" panose="020B0004020202020204" pitchFamily="34" charset="0"/>
                <a:ea typeface="+mn-ea"/>
                <a:cs typeface="Arial"/>
              </a:rPr>
              <a:pPr marL="0" indent="0" algn="ctr"/>
              <a:t>3.9</a:t>
            </a:fld>
            <a:endParaRPr lang="en-VC" sz="2800" b="0" i="0" u="none" strike="noStrike">
              <a:solidFill>
                <a:schemeClr val="bg2"/>
              </a:solidFill>
              <a:latin typeface="Aptos ExtraBold" panose="020B0004020202020204" pitchFamily="34" charset="0"/>
              <a:ea typeface="+mn-ea"/>
              <a:cs typeface="Arial"/>
            </a:endParaRPr>
          </a:p>
        </xdr:txBody>
      </xdr:sp>
      <xdr:sp macro="" textlink="">
        <xdr:nvSpPr>
          <xdr:cNvPr id="44" name="TextBox 43">
            <a:extLst>
              <a:ext uri="{FF2B5EF4-FFF2-40B4-BE49-F238E27FC236}">
                <a16:creationId xmlns:a16="http://schemas.microsoft.com/office/drawing/2014/main" id="{AB4ABCE0-21F5-4559-9D73-B05AEF51D7A3}"/>
              </a:ext>
            </a:extLst>
          </xdr:cNvPr>
          <xdr:cNvSpPr txBox="1"/>
        </xdr:nvSpPr>
        <xdr:spPr>
          <a:xfrm>
            <a:off x="487994" y="5086227"/>
            <a:ext cx="1283175" cy="357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Aptos ExtraBold" panose="020B0004020202020204" pitchFamily="34" charset="0"/>
              </a:rPr>
              <a:t>Avg.</a:t>
            </a:r>
            <a:r>
              <a:rPr lang="en-US" sz="1600" baseline="0">
                <a:solidFill>
                  <a:schemeClr val="bg1"/>
                </a:solidFill>
                <a:latin typeface="Aptos ExtraBold" panose="020B0004020202020204" pitchFamily="34" charset="0"/>
              </a:rPr>
              <a:t>Rating</a:t>
            </a:r>
            <a:endParaRPr lang="en-US" sz="1600">
              <a:solidFill>
                <a:schemeClr val="bg1"/>
              </a:solidFill>
              <a:latin typeface="Aptos ExtraBold" panose="020B0004020202020204" pitchFamily="34" charset="0"/>
            </a:endParaRPr>
          </a:p>
        </xdr:txBody>
      </xdr:sp>
      <xdr:sp macro="" textlink="'Pivot Table'!F13">
        <xdr:nvSpPr>
          <xdr:cNvPr id="45" name="TextBox 44">
            <a:extLst>
              <a:ext uri="{FF2B5EF4-FFF2-40B4-BE49-F238E27FC236}">
                <a16:creationId xmlns:a16="http://schemas.microsoft.com/office/drawing/2014/main" id="{59228C2D-C566-4BC7-A292-DB124EF4C433}"/>
              </a:ext>
            </a:extLst>
          </xdr:cNvPr>
          <xdr:cNvSpPr txBox="1"/>
        </xdr:nvSpPr>
        <xdr:spPr>
          <a:xfrm>
            <a:off x="891171" y="5971323"/>
            <a:ext cx="466293" cy="252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5A361D0-540A-470D-963F-0F3B4797B347}" type="TxLink">
              <a:rPr lang="en-US" sz="1100" b="0" i="0" u="none" strike="noStrike">
                <a:solidFill>
                  <a:schemeClr val="bg1"/>
                </a:solidFill>
                <a:latin typeface="Aptos ExtraBold" panose="020B0004020202020204" pitchFamily="34" charset="0"/>
                <a:ea typeface="+mn-ea"/>
                <a:cs typeface="Arial"/>
              </a:rPr>
              <a:pPr marL="0" indent="0" algn="ctr"/>
              <a:t>3.9</a:t>
            </a:fld>
            <a:endParaRPr lang="en-VC" sz="1100" b="0" i="0" u="none" strike="noStrike">
              <a:solidFill>
                <a:schemeClr val="bg1"/>
              </a:solidFill>
              <a:latin typeface="Aptos ExtraBold" panose="020B0004020202020204" pitchFamily="34" charset="0"/>
              <a:ea typeface="+mn-ea"/>
              <a:cs typeface="Arial"/>
            </a:endParaRPr>
          </a:p>
        </xdr:txBody>
      </xdr:sp>
      <xdr:pic>
        <xdr:nvPicPr>
          <xdr:cNvPr id="51" name="Graphic 50" descr="Rating Star with solid fill">
            <a:extLst>
              <a:ext uri="{FF2B5EF4-FFF2-40B4-BE49-F238E27FC236}">
                <a16:creationId xmlns:a16="http://schemas.microsoft.com/office/drawing/2014/main" id="{5E49953C-E041-437B-A846-DDC81C7D3F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22553" y="5137386"/>
            <a:ext cx="265895" cy="255576"/>
          </a:xfrm>
          <a:prstGeom prst="rect">
            <a:avLst/>
          </a:prstGeom>
        </xdr:spPr>
      </xdr:pic>
    </xdr:grpSp>
    <xdr:clientData/>
  </xdr:twoCellAnchor>
  <xdr:twoCellAnchor>
    <xdr:from>
      <xdr:col>11</xdr:col>
      <xdr:colOff>195943</xdr:colOff>
      <xdr:row>5</xdr:row>
      <xdr:rowOff>0</xdr:rowOff>
    </xdr:from>
    <xdr:to>
      <xdr:col>15</xdr:col>
      <xdr:colOff>250371</xdr:colOff>
      <xdr:row>21</xdr:row>
      <xdr:rowOff>83821</xdr:rowOff>
    </xdr:to>
    <xdr:graphicFrame macro="">
      <xdr:nvGraphicFramePr>
        <xdr:cNvPr id="4" name="Chart 3">
          <a:extLst>
            <a:ext uri="{FF2B5EF4-FFF2-40B4-BE49-F238E27FC236}">
              <a16:creationId xmlns:a16="http://schemas.microsoft.com/office/drawing/2014/main" id="{3157E476-BF1E-4145-B29B-9DC912F5D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389906</xdr:colOff>
      <xdr:row>24</xdr:row>
      <xdr:rowOff>122713</xdr:rowOff>
    </xdr:from>
    <xdr:to>
      <xdr:col>22</xdr:col>
      <xdr:colOff>228600</xdr:colOff>
      <xdr:row>32</xdr:row>
      <xdr:rowOff>65314</xdr:rowOff>
    </xdr:to>
    <mc:AlternateContent xmlns:mc="http://schemas.openxmlformats.org/markup-compatibility/2006">
      <mc:Choice xmlns:a14="http://schemas.microsoft.com/office/drawing/2010/main" Requires="a14">
        <xdr:graphicFrame macro="">
          <xdr:nvGraphicFramePr>
            <xdr:cNvPr id="53" name="Representative">
              <a:extLst>
                <a:ext uri="{FF2B5EF4-FFF2-40B4-BE49-F238E27FC236}">
                  <a16:creationId xmlns:a16="http://schemas.microsoft.com/office/drawing/2014/main" id="{2C6E0B6D-5514-4B15-AB0E-D1C4B1D2283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3158849" y="4466113"/>
              <a:ext cx="1177637" cy="1738744"/>
            </a:xfrm>
            <a:prstGeom prst="rect">
              <a:avLst/>
            </a:prstGeom>
            <a:solidFill>
              <a:prstClr val="white"/>
            </a:solidFill>
            <a:ln w="1">
              <a:solidFill>
                <a:prstClr val="green"/>
              </a:solidFill>
            </a:ln>
          </xdr:spPr>
          <xdr:txBody>
            <a:bodyPr vertOverflow="clip" horzOverflow="clip"/>
            <a:lstStyle/>
            <a:p>
              <a:r>
                <a:rPr lang="en-V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17929</xdr:colOff>
      <xdr:row>6</xdr:row>
      <xdr:rowOff>17930</xdr:rowOff>
    </xdr:from>
    <xdr:to>
      <xdr:col>11</xdr:col>
      <xdr:colOff>13854</xdr:colOff>
      <xdr:row>21</xdr:row>
      <xdr:rowOff>96982</xdr:rowOff>
    </xdr:to>
    <xdr:graphicFrame macro="">
      <xdr:nvGraphicFramePr>
        <xdr:cNvPr id="2" name="Chart 1">
          <a:extLst>
            <a:ext uri="{FF2B5EF4-FFF2-40B4-BE49-F238E27FC236}">
              <a16:creationId xmlns:a16="http://schemas.microsoft.com/office/drawing/2014/main" id="{89187245-0FE2-420C-B970-D29DFE446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37</xdr:row>
      <xdr:rowOff>45999</xdr:rowOff>
    </xdr:from>
    <xdr:to>
      <xdr:col>4</xdr:col>
      <xdr:colOff>300056</xdr:colOff>
      <xdr:row>44</xdr:row>
      <xdr:rowOff>0</xdr:rowOff>
    </xdr:to>
    <xdr:grpSp>
      <xdr:nvGrpSpPr>
        <xdr:cNvPr id="18" name="Group 17">
          <a:extLst>
            <a:ext uri="{FF2B5EF4-FFF2-40B4-BE49-F238E27FC236}">
              <a16:creationId xmlns:a16="http://schemas.microsoft.com/office/drawing/2014/main" id="{A4A29F71-0E00-F41D-90C5-013D00876FAF}"/>
            </a:ext>
          </a:extLst>
        </xdr:cNvPr>
        <xdr:cNvGrpSpPr/>
      </xdr:nvGrpSpPr>
      <xdr:grpSpPr>
        <a:xfrm>
          <a:off x="272143" y="7110828"/>
          <a:ext cx="1649884" cy="1249401"/>
          <a:chOff x="309489" y="6574886"/>
          <a:chExt cx="1645224" cy="1184592"/>
        </a:xfrm>
      </xdr:grpSpPr>
      <xdr:sp macro="" textlink="'Pivot Table'!G6">
        <xdr:nvSpPr>
          <xdr:cNvPr id="46" name="Rectangle 45">
            <a:extLst>
              <a:ext uri="{FF2B5EF4-FFF2-40B4-BE49-F238E27FC236}">
                <a16:creationId xmlns:a16="http://schemas.microsoft.com/office/drawing/2014/main" id="{4FD874C8-3E2D-409E-9E25-31872F517BFE}"/>
              </a:ext>
            </a:extLst>
          </xdr:cNvPr>
          <xdr:cNvSpPr/>
        </xdr:nvSpPr>
        <xdr:spPr>
          <a:xfrm>
            <a:off x="309489" y="6574886"/>
            <a:ext cx="1645224" cy="1184592"/>
          </a:xfrm>
          <a:prstGeom prst="rect">
            <a:avLst/>
          </a:prstGeom>
          <a:gradFill>
            <a:gsLst>
              <a:gs pos="78000">
                <a:srgbClr val="FF3300">
                  <a:lumMod val="100000"/>
                </a:srgbClr>
              </a:gs>
              <a:gs pos="0">
                <a:srgbClr val="FF6600"/>
              </a:gs>
            </a:gsLst>
            <a:lin ang="0" scaled="0"/>
          </a:gra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356A283-5F9F-4305-A6EF-CF55F32FC667}" type="TxLink">
              <a:rPr lang="en-US" sz="2800" b="0" i="0" u="none" strike="noStrike">
                <a:solidFill>
                  <a:schemeClr val="bg2"/>
                </a:solidFill>
                <a:latin typeface="Aptos ExtraBold" panose="020B0004020202020204" pitchFamily="34" charset="0"/>
                <a:ea typeface="+mn-ea"/>
                <a:cs typeface="Arial"/>
              </a:rPr>
              <a:pPr marL="0" indent="0" algn="ctr"/>
              <a:t>307</a:t>
            </a:fld>
            <a:endParaRPr lang="en-US" sz="2800" b="0" i="0" u="none" strike="noStrike">
              <a:solidFill>
                <a:schemeClr val="bg2"/>
              </a:solidFill>
              <a:latin typeface="Aptos ExtraBold" panose="020B0004020202020204" pitchFamily="34" charset="0"/>
              <a:ea typeface="+mn-ea"/>
              <a:cs typeface="Arial"/>
            </a:endParaRPr>
          </a:p>
        </xdr:txBody>
      </xdr:sp>
      <xdr:sp macro="" textlink="">
        <xdr:nvSpPr>
          <xdr:cNvPr id="47" name="TextBox 46">
            <a:extLst>
              <a:ext uri="{FF2B5EF4-FFF2-40B4-BE49-F238E27FC236}">
                <a16:creationId xmlns:a16="http://schemas.microsoft.com/office/drawing/2014/main" id="{0895C8C6-25F0-4914-9D61-EB20F144803A}"/>
              </a:ext>
            </a:extLst>
          </xdr:cNvPr>
          <xdr:cNvSpPr txBox="1"/>
        </xdr:nvSpPr>
        <xdr:spPr>
          <a:xfrm>
            <a:off x="499989" y="6599243"/>
            <a:ext cx="1363980" cy="280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a:solidFill>
                  <a:schemeClr val="bg2"/>
                </a:solidFill>
                <a:latin typeface="Aptos ExtraBold" panose="020B0004020202020204" pitchFamily="34" charset="0"/>
              </a:rPr>
              <a:t>Happy </a:t>
            </a:r>
            <a:r>
              <a:rPr lang="en-US" sz="1400" baseline="0">
                <a:solidFill>
                  <a:schemeClr val="bg2"/>
                </a:solidFill>
                <a:latin typeface="Aptos ExtraBold" panose="020B0004020202020204" pitchFamily="34" charset="0"/>
              </a:rPr>
              <a:t>Callers</a:t>
            </a:r>
            <a:endParaRPr lang="en-VC" sz="1400">
              <a:solidFill>
                <a:schemeClr val="bg2"/>
              </a:solidFill>
              <a:latin typeface="Aptos ExtraBold" panose="020B0004020202020204" pitchFamily="34" charset="0"/>
            </a:endParaRPr>
          </a:p>
        </xdr:txBody>
      </xdr:sp>
      <xdr:sp macro="" textlink="'Pivot Table'!G13">
        <xdr:nvSpPr>
          <xdr:cNvPr id="48" name="TextBox 47">
            <a:extLst>
              <a:ext uri="{FF2B5EF4-FFF2-40B4-BE49-F238E27FC236}">
                <a16:creationId xmlns:a16="http://schemas.microsoft.com/office/drawing/2014/main" id="{33A9E8A0-A665-417D-8A01-08BFE401E142}"/>
              </a:ext>
            </a:extLst>
          </xdr:cNvPr>
          <xdr:cNvSpPr txBox="1"/>
        </xdr:nvSpPr>
        <xdr:spPr>
          <a:xfrm>
            <a:off x="922270" y="7409693"/>
            <a:ext cx="348084" cy="265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451AA0E-C20A-4153-B896-E0219976ADC5}" type="TxLink">
              <a:rPr lang="en-US" sz="1200" b="0" i="0" u="none" strike="noStrike">
                <a:solidFill>
                  <a:schemeClr val="bg2"/>
                </a:solidFill>
                <a:latin typeface="Aptos ExtraBold" panose="020B0004020202020204" pitchFamily="34" charset="0"/>
                <a:ea typeface="+mn-ea"/>
                <a:cs typeface="Arial"/>
              </a:rPr>
              <a:pPr marL="0" indent="0"/>
              <a:t>62</a:t>
            </a:fld>
            <a:endParaRPr lang="en-VC" sz="1200" b="0" i="0" u="none" strike="noStrike">
              <a:solidFill>
                <a:schemeClr val="bg2"/>
              </a:solidFill>
              <a:latin typeface="Aptos ExtraBold" panose="020B0004020202020204" pitchFamily="34" charset="0"/>
              <a:ea typeface="+mn-ea"/>
              <a:cs typeface="Arial"/>
            </a:endParaRPr>
          </a:p>
        </xdr:txBody>
      </xdr:sp>
      <xdr:pic>
        <xdr:nvPicPr>
          <xdr:cNvPr id="52" name="Graphic 51" descr="Star-struck face outline with solid fill">
            <a:extLst>
              <a:ext uri="{FF2B5EF4-FFF2-40B4-BE49-F238E27FC236}">
                <a16:creationId xmlns:a16="http://schemas.microsoft.com/office/drawing/2014/main" id="{A4B4E357-DAD1-4014-BE7F-5393A99F61F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5038" y="6643468"/>
            <a:ext cx="224565" cy="217491"/>
          </a:xfrm>
          <a:prstGeom prst="rect">
            <a:avLst/>
          </a:prstGeom>
        </xdr:spPr>
      </xdr:pic>
    </xdr:grpSp>
    <xdr:clientData/>
  </xdr:twoCellAnchor>
  <xdr:twoCellAnchor>
    <xdr:from>
      <xdr:col>5</xdr:col>
      <xdr:colOff>0</xdr:colOff>
      <xdr:row>22</xdr:row>
      <xdr:rowOff>178062</xdr:rowOff>
    </xdr:from>
    <xdr:to>
      <xdr:col>12</xdr:col>
      <xdr:colOff>260413</xdr:colOff>
      <xdr:row>44</xdr:row>
      <xdr:rowOff>0</xdr:rowOff>
    </xdr:to>
    <xdr:grpSp>
      <xdr:nvGrpSpPr>
        <xdr:cNvPr id="22" name="Group 21">
          <a:extLst>
            <a:ext uri="{FF2B5EF4-FFF2-40B4-BE49-F238E27FC236}">
              <a16:creationId xmlns:a16="http://schemas.microsoft.com/office/drawing/2014/main" id="{A9E591EB-3A5C-F6FD-8D57-090A0E065C52}"/>
            </a:ext>
          </a:extLst>
        </xdr:cNvPr>
        <xdr:cNvGrpSpPr/>
      </xdr:nvGrpSpPr>
      <xdr:grpSpPr>
        <a:xfrm>
          <a:off x="2296886" y="4173119"/>
          <a:ext cx="4984813" cy="4187110"/>
          <a:chOff x="3111598" y="4357488"/>
          <a:chExt cx="4966884" cy="3767223"/>
        </a:xfrm>
      </xdr:grpSpPr>
      <xdr:sp macro="" textlink="">
        <xdr:nvSpPr>
          <xdr:cNvPr id="12" name="Rectangle 11">
            <a:extLst>
              <a:ext uri="{FF2B5EF4-FFF2-40B4-BE49-F238E27FC236}">
                <a16:creationId xmlns:a16="http://schemas.microsoft.com/office/drawing/2014/main" id="{78585350-7203-937A-40CA-29CE0C295E17}"/>
              </a:ext>
            </a:extLst>
          </xdr:cNvPr>
          <xdr:cNvSpPr/>
        </xdr:nvSpPr>
        <xdr:spPr>
          <a:xfrm>
            <a:off x="3111598" y="4357488"/>
            <a:ext cx="4966884" cy="3767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VC" sz="1100"/>
          </a:p>
        </xdr:txBody>
      </xdr:sp>
      <xdr:graphicFrame macro="">
        <xdr:nvGraphicFramePr>
          <xdr:cNvPr id="7" name="Chart 6">
            <a:extLst>
              <a:ext uri="{FF2B5EF4-FFF2-40B4-BE49-F238E27FC236}">
                <a16:creationId xmlns:a16="http://schemas.microsoft.com/office/drawing/2014/main" id="{3472BEBD-8F82-491C-8187-C46292BD480C}"/>
              </a:ext>
            </a:extLst>
          </xdr:cNvPr>
          <xdr:cNvGraphicFramePr>
            <a:graphicFrameLocks/>
          </xdr:cNvGraphicFramePr>
        </xdr:nvGraphicFramePr>
        <xdr:xfrm>
          <a:off x="3166351" y="4357488"/>
          <a:ext cx="2668362" cy="360765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0" name="Chart 9">
            <a:extLst>
              <a:ext uri="{FF2B5EF4-FFF2-40B4-BE49-F238E27FC236}">
                <a16:creationId xmlns:a16="http://schemas.microsoft.com/office/drawing/2014/main" id="{722EB2AA-9BDC-48B0-B301-AB8B1CA3669A}"/>
              </a:ext>
            </a:extLst>
          </xdr:cNvPr>
          <xdr:cNvGraphicFramePr>
            <a:graphicFrameLocks/>
          </xdr:cNvGraphicFramePr>
        </xdr:nvGraphicFramePr>
        <xdr:xfrm>
          <a:off x="5440818" y="4422399"/>
          <a:ext cx="2451960" cy="363420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15</xdr:col>
      <xdr:colOff>386938</xdr:colOff>
      <xdr:row>6</xdr:row>
      <xdr:rowOff>0</xdr:rowOff>
    </xdr:from>
    <xdr:to>
      <xdr:col>20</xdr:col>
      <xdr:colOff>387928</xdr:colOff>
      <xdr:row>21</xdr:row>
      <xdr:rowOff>41564</xdr:rowOff>
    </xdr:to>
    <xdr:graphicFrame macro="">
      <xdr:nvGraphicFramePr>
        <xdr:cNvPr id="13" name="Chart 12">
          <a:extLst>
            <a:ext uri="{FF2B5EF4-FFF2-40B4-BE49-F238E27FC236}">
              <a16:creationId xmlns:a16="http://schemas.microsoft.com/office/drawing/2014/main" id="{6B2C086B-F0B2-4C84-8175-8CAE8E5A3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0</xdr:colOff>
      <xdr:row>6</xdr:row>
      <xdr:rowOff>0</xdr:rowOff>
    </xdr:from>
    <xdr:to>
      <xdr:col>25</xdr:col>
      <xdr:colOff>734291</xdr:colOff>
      <xdr:row>20</xdr:row>
      <xdr:rowOff>166255</xdr:rowOff>
    </xdr:to>
    <xdr:graphicFrame macro="">
      <xdr:nvGraphicFramePr>
        <xdr:cNvPr id="15" name="Chart 14">
          <a:extLst>
            <a:ext uri="{FF2B5EF4-FFF2-40B4-BE49-F238E27FC236}">
              <a16:creationId xmlns:a16="http://schemas.microsoft.com/office/drawing/2014/main" id="{2303D065-DDCE-4837-ACE1-64D17E035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19.770048032406" backgroundQuery="1" createdVersion="8" refreshedVersion="8" minRefreshableVersion="3" recordCount="0" supportSubquery="1" supportAdvancedDrill="1" xr:uid="{6261712F-609E-4BBE-A459-29CABCBDF1C7}">
  <cacheSource type="external" connectionId="1"/>
  <cacheFields count="5">
    <cacheField name="[Measures].[Call Count]" caption="Call Count" numFmtId="0" hierarchy="17" level="32767"/>
    <cacheField name="[Measures].[Total Amount ]" caption="Total Amount " numFmtId="0" hierarchy="18" level="32767"/>
    <cacheField name="[Measures].[Total Duration]" caption="Total Duration" numFmtId="0" hierarchy="19" level="32767"/>
    <cacheField name="[Measures].[Average Rating]" caption="Average Rating" numFmtId="0" hierarchy="20" level="32767"/>
    <cacheField name="[Measures].[5 Stars]" caption="5 Stars"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Stars]" caption="5 Sta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19.836779282406" backgroundQuery="1" createdVersion="8" refreshedVersion="8" minRefreshableVersion="3" recordCount="0" supportSubquery="1" supportAdvancedDrill="1" xr:uid="{F9377CC5-EB0D-4B90-9CBF-F651F24972F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 caption="Total Amount "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 caption="Total Amount "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0.744330555557" backgroundQuery="1" createdVersion="8" refreshedVersion="8" minRefreshableVersion="3" recordCount="0" supportSubquery="1" supportAdvancedDrill="1" xr:uid="{30C55BC0-25F7-4D3B-92B0-D8717293DC7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0.832918171298" backgroundQuery="1" createdVersion="8" refreshedVersion="8" minRefreshableVersion="3" recordCount="0" supportSubquery="1" supportAdvancedDrill="1" xr:uid="{DE328E52-2EFF-4B14-A25A-70AAD616B14F}">
  <cacheSource type="external" connectionId="1"/>
  <cacheFields count="4">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 caption="Total Amount "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2.381533564818" backgroundQuery="1" createdVersion="8" refreshedVersion="8" minRefreshableVersion="3" recordCount="0" supportSubquery="1" supportAdvancedDrill="1" xr:uid="{AE7F1E53-E547-45B7-A293-914C470DF6AA}">
  <cacheSource type="external" connectionId="1"/>
  <cacheFields count="6">
    <cacheField name="[Measures].[Call Count]" caption="Call Count" numFmtId="0" hierarchy="17" level="32767"/>
    <cacheField name="[Measures].[Total Amount ]" caption="Total Amount " numFmtId="0" hierarchy="18" level="32767"/>
    <cacheField name="[Measures].[Total Duration]" caption="Total Duration" numFmtId="0" hierarchy="19" level="32767"/>
    <cacheField name="[Measures].[Average Rating]" caption="Average Rating" numFmtId="0" hierarchy="20" level="32767"/>
    <cacheField name="[Measures].[5 Stars]" caption="5 Star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Stars]" caption="5 Sta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2.381533912034" backgroundQuery="1" createdVersion="8" refreshedVersion="8" minRefreshableVersion="3" recordCount="0" supportSubquery="1" supportAdvancedDrill="1" xr:uid="{B81B2B56-2CF4-4940-8441-5C7D94A040B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Measures].[Call Count]" caption="Call Count" numFmtId="0" hierarchy="17"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2.381534259257" backgroundQuery="1" createdVersion="8" refreshedVersion="8" minRefreshableVersion="3" recordCount="0" supportSubquery="1" supportAdvancedDrill="1" xr:uid="{4D37C8DA-3067-4C0F-8CA5-D9D157F3CD1E}">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2.381534722219" backgroundQuery="1" createdVersion="8" refreshedVersion="8" minRefreshableVersion="3" recordCount="0" supportSubquery="1" supportAdvancedDrill="1" xr:uid="{A86BC9CF-AC29-474B-805C-1096BAA477F7}">
  <cacheSource type="external" connectionId="1"/>
  <cacheFields count="1">
    <cacheField name="[calls].[Representative].[Representative]" caption="Representative" numFmtId="0" hierarchy="3" level="1">
      <sharedItems count="1">
        <s v="R04"/>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22.381535069442" backgroundQuery="1" createdVersion="8" refreshedVersion="8" minRefreshableVersion="3" recordCount="0" supportSubquery="1" supportAdvancedDrill="1" xr:uid="{1590973E-81BA-4840-B2E1-6C642D0678F8}">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Kumar" refreshedDate="45819.77004398148" backgroundQuery="1" createdVersion="3" refreshedVersion="8" minRefreshableVersion="3" recordCount="0" supportSubquery="1" supportAdvancedDrill="1" xr:uid="{A3431BA7-93E4-4E47-BCA2-3206CF98988A}">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Stars]" caption="5 Sta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91504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36BD3-6B01-4514-83FD-74A7F52BCC40}" name="PivotTable3"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C87:I10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0"/>
    <field x="2"/>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fld="3"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1A2E76-5F4F-454A-A9E4-FEA6C589C58C}" name="PivotTable2" cacheId="1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C77:D8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1705C5-2CAC-4584-9884-E74A2692E609}"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G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E3ECD-CC22-4915-9569-83E2BD257011}" name="weekly" cacheId="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G23:H31" firstHeaderRow="1" firstDataRow="1" firstDataCol="1"/>
  <pivotFields count="3">
    <pivotField axis="axisRow" allDrilled="1" subtotalTop="0" showAll="0"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4">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0"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2D3CB4-A2EE-42A2-9454-E30409510F04}" name="Rep select" cacheId="1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C57:C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38C0B-EC5C-44CA-B1BF-D0BD581E5295}" name="Reps 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F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2DEFC-5B2C-4A59-8B9D-180E4E4B5602}" name="male vs femal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67:F7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7AE527-1DAD-43BC-B02A-28B474A45C66}" name="Monthly "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C23:E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fld="4"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B0F87F-E01F-46C5-8E15-FBA0286D0D05}" name="Rep Pivot" cacheId="1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2:G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3</v>
    <v>4</v>
    <v>Young businessman writing on notebook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3192E52-1822-43ED-BF43-5798B43F6417}" sourceName="[calls].[Representative]">
  <pivotTables>
    <pivotTable tabId="6" name="Rep Pivot"/>
    <pivotTable tabId="6" name="Monthly "/>
    <pivotTable tabId="6" name="weekly"/>
    <pivotTable tabId="6" name="Rep select"/>
    <pivotTable tabId="6" name="PivotTable2"/>
  </pivotTables>
  <data>
    <olap pivotCacheId="124915043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E1F1056-2906-4E8C-BDBC-B6A3086B9C62}"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BF84EAF-8B32-49A4-BA04-B89918C4D8F0}" cache="Slicer_Representative" caption="Representative" level="1"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55" zoomScaleNormal="55" workbookViewId="0">
      <selection activeCell="Q37" sqref="Q37"/>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Normal="100" workbookViewId="0">
      <selection activeCell="G10" sqref="G10"/>
    </sheetView>
  </sheetViews>
  <sheetFormatPr defaultRowHeight="13.8" x14ac:dyDescent="0.25"/>
  <cols>
    <col min="5" max="5" width="10.8984375" customWidth="1"/>
    <col min="6" max="6" width="9.898437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57C2-3419-49C6-8CFC-0DDE488A2EB7}">
  <dimension ref="C5:M106"/>
  <sheetViews>
    <sheetView topLeftCell="A40" zoomScaleNormal="100" workbookViewId="0">
      <selection activeCell="I70" sqref="I70"/>
    </sheetView>
  </sheetViews>
  <sheetFormatPr defaultRowHeight="13.8" x14ac:dyDescent="0.25"/>
  <cols>
    <col min="3" max="3" width="13.09765625" bestFit="1" customWidth="1"/>
    <col min="4" max="5" width="9.8984375" bestFit="1" customWidth="1"/>
    <col min="6" max="6" width="14.5" bestFit="1" customWidth="1"/>
    <col min="7" max="7" width="13.09765625" bestFit="1" customWidth="1"/>
    <col min="8" max="8" width="9.8984375" bestFit="1" customWidth="1"/>
    <col min="9" max="9" width="11.5" bestFit="1" customWidth="1"/>
    <col min="10" max="13" width="7.8984375" bestFit="1" customWidth="1"/>
    <col min="14" max="14" width="15.5" bestFit="1" customWidth="1"/>
    <col min="15" max="15" width="18.69921875" bestFit="1" customWidth="1"/>
    <col min="16" max="18" width="6.69921875" bestFit="1" customWidth="1"/>
    <col min="19" max="19" width="13.5" bestFit="1" customWidth="1"/>
    <col min="20" max="33" width="6.796875" bestFit="1" customWidth="1"/>
    <col min="34" max="34" width="15.5" bestFit="1" customWidth="1"/>
    <col min="35" max="35" width="18.69921875" bestFit="1" customWidth="1"/>
    <col min="36" max="61" width="3.19921875" bestFit="1" customWidth="1"/>
    <col min="62" max="110" width="4.19921875" bestFit="1" customWidth="1"/>
    <col min="111" max="111" width="11.5" bestFit="1" customWidth="1"/>
  </cols>
  <sheetData>
    <row r="5" spans="3:7" x14ac:dyDescent="0.25">
      <c r="C5" t="s">
        <v>1042</v>
      </c>
      <c r="D5" t="s">
        <v>1043</v>
      </c>
      <c r="E5" t="s">
        <v>1044</v>
      </c>
      <c r="F5" t="s">
        <v>1045</v>
      </c>
      <c r="G5" t="s">
        <v>1046</v>
      </c>
    </row>
    <row r="6" spans="3:7" x14ac:dyDescent="0.25">
      <c r="C6" s="21">
        <v>1000</v>
      </c>
      <c r="D6" s="22">
        <v>96623</v>
      </c>
      <c r="E6" s="21">
        <v>89850</v>
      </c>
      <c r="F6" s="23">
        <v>3.8854000000000033</v>
      </c>
      <c r="G6">
        <v>307</v>
      </c>
    </row>
    <row r="12" spans="3:7" x14ac:dyDescent="0.25">
      <c r="C12" t="s">
        <v>1042</v>
      </c>
      <c r="D12" t="s">
        <v>1043</v>
      </c>
      <c r="E12" t="s">
        <v>1044</v>
      </c>
      <c r="F12" t="s">
        <v>1045</v>
      </c>
      <c r="G12" t="s">
        <v>1046</v>
      </c>
    </row>
    <row r="13" spans="3:7" x14ac:dyDescent="0.25">
      <c r="C13" s="21">
        <v>186</v>
      </c>
      <c r="D13" s="22">
        <v>16651</v>
      </c>
      <c r="E13" s="21">
        <v>17807</v>
      </c>
      <c r="F13" s="23">
        <v>3.8973118279569863</v>
      </c>
      <c r="G13" s="36">
        <v>62</v>
      </c>
    </row>
    <row r="23" spans="3:8" x14ac:dyDescent="0.25">
      <c r="C23" s="24" t="s">
        <v>1047</v>
      </c>
      <c r="D23" t="s">
        <v>1061</v>
      </c>
      <c r="E23" t="s">
        <v>1042</v>
      </c>
      <c r="G23" s="24" t="s">
        <v>1047</v>
      </c>
      <c r="H23" t="s">
        <v>1042</v>
      </c>
    </row>
    <row r="24" spans="3:8" x14ac:dyDescent="0.25">
      <c r="C24" s="25" t="s">
        <v>1049</v>
      </c>
      <c r="D24" s="36">
        <v>10</v>
      </c>
      <c r="E24" s="21">
        <v>10</v>
      </c>
      <c r="G24" s="25" t="s">
        <v>1065</v>
      </c>
      <c r="H24" s="21">
        <v>25</v>
      </c>
    </row>
    <row r="25" spans="3:8" x14ac:dyDescent="0.25">
      <c r="C25" s="25" t="s">
        <v>1050</v>
      </c>
      <c r="D25" s="36">
        <v>11</v>
      </c>
      <c r="E25" s="21">
        <v>11</v>
      </c>
      <c r="G25" s="25" t="s">
        <v>1063</v>
      </c>
      <c r="H25" s="21">
        <v>23</v>
      </c>
    </row>
    <row r="26" spans="3:8" x14ac:dyDescent="0.25">
      <c r="C26" s="25" t="s">
        <v>1051</v>
      </c>
      <c r="D26" s="36">
        <v>30</v>
      </c>
      <c r="E26" s="21">
        <v>30</v>
      </c>
      <c r="G26" s="25" t="s">
        <v>1067</v>
      </c>
      <c r="H26" s="21">
        <v>28</v>
      </c>
    </row>
    <row r="27" spans="3:8" x14ac:dyDescent="0.25">
      <c r="C27" s="25" t="s">
        <v>1052</v>
      </c>
      <c r="D27" s="36">
        <v>23</v>
      </c>
      <c r="E27" s="21">
        <v>23</v>
      </c>
      <c r="G27" s="25" t="s">
        <v>1068</v>
      </c>
      <c r="H27" s="21">
        <v>29</v>
      </c>
    </row>
    <row r="28" spans="3:8" x14ac:dyDescent="0.25">
      <c r="C28" s="25" t="s">
        <v>1053</v>
      </c>
      <c r="D28" s="36">
        <v>22</v>
      </c>
      <c r="E28" s="21">
        <v>22</v>
      </c>
      <c r="G28" s="25" t="s">
        <v>1066</v>
      </c>
      <c r="H28" s="21">
        <v>18</v>
      </c>
    </row>
    <row r="29" spans="3:8" x14ac:dyDescent="0.25">
      <c r="C29" s="25" t="s">
        <v>1054</v>
      </c>
      <c r="D29" s="36">
        <v>11</v>
      </c>
      <c r="E29" s="21">
        <v>11</v>
      </c>
      <c r="G29" s="25" t="s">
        <v>1062</v>
      </c>
      <c r="H29" s="21">
        <v>29</v>
      </c>
    </row>
    <row r="30" spans="3:8" x14ac:dyDescent="0.25">
      <c r="C30" s="25" t="s">
        <v>1055</v>
      </c>
      <c r="D30" s="36">
        <v>17</v>
      </c>
      <c r="E30" s="21">
        <v>17</v>
      </c>
      <c r="G30" s="25" t="s">
        <v>1064</v>
      </c>
      <c r="H30" s="21">
        <v>34</v>
      </c>
    </row>
    <row r="31" spans="3:8" x14ac:dyDescent="0.25">
      <c r="C31" s="25" t="s">
        <v>1056</v>
      </c>
      <c r="D31" s="36">
        <v>12</v>
      </c>
      <c r="E31" s="21">
        <v>12</v>
      </c>
      <c r="G31" s="25" t="s">
        <v>1048</v>
      </c>
      <c r="H31" s="21">
        <v>186</v>
      </c>
    </row>
    <row r="32" spans="3:8" x14ac:dyDescent="0.25">
      <c r="C32" s="25" t="s">
        <v>1057</v>
      </c>
      <c r="D32" s="36">
        <v>13</v>
      </c>
      <c r="E32" s="21">
        <v>13</v>
      </c>
    </row>
    <row r="33" spans="3:13" x14ac:dyDescent="0.25">
      <c r="C33" s="25" t="s">
        <v>1058</v>
      </c>
      <c r="D33" s="36">
        <v>15</v>
      </c>
      <c r="E33" s="21">
        <v>15</v>
      </c>
    </row>
    <row r="34" spans="3:13" x14ac:dyDescent="0.25">
      <c r="C34" s="25" t="s">
        <v>1059</v>
      </c>
      <c r="D34" s="36">
        <v>8</v>
      </c>
      <c r="E34" s="21">
        <v>8</v>
      </c>
    </row>
    <row r="35" spans="3:13" x14ac:dyDescent="0.25">
      <c r="C35" s="25" t="s">
        <v>1060</v>
      </c>
      <c r="D35" s="36">
        <v>14</v>
      </c>
      <c r="E35" s="21">
        <v>14</v>
      </c>
    </row>
    <row r="36" spans="3:13" x14ac:dyDescent="0.25">
      <c r="C36" s="25" t="s">
        <v>1048</v>
      </c>
      <c r="D36" s="36">
        <v>186</v>
      </c>
      <c r="E36" s="21">
        <v>186</v>
      </c>
    </row>
    <row r="43" spans="3:13" x14ac:dyDescent="0.25">
      <c r="J43" t="s">
        <v>1074</v>
      </c>
      <c r="K43" t="str">
        <f>C58</f>
        <v>R04</v>
      </c>
    </row>
    <row r="45" spans="3:13" x14ac:dyDescent="0.25">
      <c r="D45" s="24" t="s">
        <v>1047</v>
      </c>
      <c r="E45" t="s">
        <v>1042</v>
      </c>
      <c r="F45" t="s">
        <v>1043</v>
      </c>
      <c r="I45" t="s">
        <v>1069</v>
      </c>
      <c r="J45" t="s">
        <v>1070</v>
      </c>
      <c r="K45" t="s">
        <v>1071</v>
      </c>
      <c r="L45" t="s">
        <v>1072</v>
      </c>
      <c r="M45" t="s">
        <v>1073</v>
      </c>
    </row>
    <row r="46" spans="3:13" x14ac:dyDescent="0.25">
      <c r="D46" s="25" t="s">
        <v>11</v>
      </c>
      <c r="E46" s="21">
        <v>189</v>
      </c>
      <c r="F46" s="22">
        <v>18415</v>
      </c>
      <c r="I46" t="str" cm="1">
        <f t="array" ref="I46:K50">D46:F50</f>
        <v>R01</v>
      </c>
      <c r="J46">
        <v>189</v>
      </c>
      <c r="K46" s="26">
        <v>18415</v>
      </c>
      <c r="L46" t="e">
        <f>IF($K$43=I46,J46,NA())</f>
        <v>#N/A</v>
      </c>
      <c r="M46" s="26" t="e">
        <f>IF($K$43=I46,K46,NA())</f>
        <v>#N/A</v>
      </c>
    </row>
    <row r="47" spans="3:13" x14ac:dyDescent="0.25">
      <c r="D47" s="25" t="s">
        <v>9</v>
      </c>
      <c r="E47" s="21">
        <v>218</v>
      </c>
      <c r="F47" s="22">
        <v>20581</v>
      </c>
      <c r="I47" t="str">
        <v>R02</v>
      </c>
      <c r="J47">
        <v>218</v>
      </c>
      <c r="K47" s="26">
        <v>20581</v>
      </c>
      <c r="L47" t="e">
        <f>IF($K$43=I47,J47,NA())</f>
        <v>#N/A</v>
      </c>
      <c r="M47" s="26" t="e">
        <f>IF($K$43=I47,K47,NA())</f>
        <v>#N/A</v>
      </c>
    </row>
    <row r="48" spans="3:13" x14ac:dyDescent="0.25">
      <c r="D48" s="25" t="s">
        <v>6</v>
      </c>
      <c r="E48" s="21">
        <v>207</v>
      </c>
      <c r="F48" s="22">
        <v>20872</v>
      </c>
      <c r="I48" t="str">
        <v>R03</v>
      </c>
      <c r="J48">
        <v>207</v>
      </c>
      <c r="K48" s="26">
        <v>20872</v>
      </c>
      <c r="L48" t="e">
        <f>IF($K$43=I48,J48,NA())</f>
        <v>#N/A</v>
      </c>
      <c r="M48" s="26" t="e">
        <f>IF($K$43=I48,K48,NA())</f>
        <v>#N/A</v>
      </c>
    </row>
    <row r="49" spans="3:13" x14ac:dyDescent="0.25">
      <c r="D49" s="25" t="s">
        <v>13</v>
      </c>
      <c r="E49" s="21">
        <v>186</v>
      </c>
      <c r="F49" s="22">
        <v>16651</v>
      </c>
      <c r="I49" t="str">
        <v>R04</v>
      </c>
      <c r="J49">
        <v>186</v>
      </c>
      <c r="K49" s="26">
        <v>16651</v>
      </c>
      <c r="L49">
        <f>IF($K$43=I49,J49,NA())</f>
        <v>186</v>
      </c>
      <c r="M49" s="26">
        <f>IF($K$43=I49,K49,NA())</f>
        <v>16651</v>
      </c>
    </row>
    <row r="50" spans="3:13" x14ac:dyDescent="0.25">
      <c r="D50" s="25" t="s">
        <v>10</v>
      </c>
      <c r="E50" s="21">
        <v>200</v>
      </c>
      <c r="F50" s="22">
        <v>20104</v>
      </c>
      <c r="I50" t="str">
        <v>R05</v>
      </c>
      <c r="J50">
        <v>200</v>
      </c>
      <c r="K50" s="26">
        <v>20104</v>
      </c>
      <c r="L50" t="e">
        <f>IF($K$43=I50,J50,NA())</f>
        <v>#N/A</v>
      </c>
      <c r="M50" s="26" t="e">
        <f>IF($K$43=I50,K50,NA())</f>
        <v>#N/A</v>
      </c>
    </row>
    <row r="51" spans="3:13" x14ac:dyDescent="0.25">
      <c r="D51" s="25" t="s">
        <v>1048</v>
      </c>
      <c r="E51" s="21">
        <v>1000</v>
      </c>
      <c r="F51" s="22">
        <v>96623</v>
      </c>
    </row>
    <row r="53" spans="3:13" x14ac:dyDescent="0.25">
      <c r="H53" t="s">
        <v>1077</v>
      </c>
    </row>
    <row r="55" spans="3:13" x14ac:dyDescent="0.25">
      <c r="H55" t="s">
        <v>1078</v>
      </c>
      <c r="I55" s="1">
        <f>GETPIVOTDATA("[Measures].[Call Count]",$C$13)/C6</f>
        <v>0.186</v>
      </c>
    </row>
    <row r="56" spans="3:13" x14ac:dyDescent="0.25">
      <c r="H56" t="s">
        <v>1079</v>
      </c>
      <c r="I56">
        <f>_xlfn.XLOOKUP(C58,I46:I50,J46:J50)</f>
        <v>186</v>
      </c>
    </row>
    <row r="57" spans="3:13" x14ac:dyDescent="0.25">
      <c r="C57" s="24" t="s">
        <v>1047</v>
      </c>
      <c r="H57" t="s">
        <v>1080</v>
      </c>
      <c r="I57" s="21">
        <f>_xlfn.XLOOKUP(C58,I46:I50,K46:K50)</f>
        <v>16651</v>
      </c>
    </row>
    <row r="58" spans="3:13" x14ac:dyDescent="0.25">
      <c r="C58" s="25" t="s">
        <v>13</v>
      </c>
    </row>
    <row r="59" spans="3:13" x14ac:dyDescent="0.25">
      <c r="H59" t="s">
        <v>1081</v>
      </c>
      <c r="I59">
        <f>_xlfn.RANK.AVG(I56,J46:J50)</f>
        <v>5</v>
      </c>
    </row>
    <row r="60" spans="3:13" x14ac:dyDescent="0.25">
      <c r="H60" t="s">
        <v>1082</v>
      </c>
      <c r="I60">
        <f>_xlfn.RANK.AVG(I57,K46:K50)</f>
        <v>5</v>
      </c>
    </row>
    <row r="63" spans="3:13" x14ac:dyDescent="0.25">
      <c r="H63" t="s">
        <v>1083</v>
      </c>
    </row>
    <row r="64" spans="3:13" x14ac:dyDescent="0.25">
      <c r="I64" t="str">
        <f>"% Of Calls : "&amp;TEXT(I55,"0%")</f>
        <v>% Of Calls : 19%</v>
      </c>
    </row>
    <row r="65" spans="3:9" x14ac:dyDescent="0.25">
      <c r="I65" t="str">
        <f>IF(COUNTA(C58:C62)&gt;1,"","Call Ranks :" &amp;I59)</f>
        <v>Call Ranks :5</v>
      </c>
    </row>
    <row r="66" spans="3:9" x14ac:dyDescent="0.25">
      <c r="I66" t="str">
        <f>IF(COUNTA(C58:C62)&gt;1,"","Amount Ranks :"&amp;I60)</f>
        <v>Amount Ranks :5</v>
      </c>
    </row>
    <row r="67" spans="3:9" x14ac:dyDescent="0.25">
      <c r="C67" s="24" t="s">
        <v>1042</v>
      </c>
      <c r="D67" s="24" t="s">
        <v>1075</v>
      </c>
    </row>
    <row r="68" spans="3:9" x14ac:dyDescent="0.25">
      <c r="C68" s="24" t="s">
        <v>1047</v>
      </c>
      <c r="D68" t="s">
        <v>999</v>
      </c>
      <c r="E68" t="s">
        <v>998</v>
      </c>
      <c r="F68" t="s">
        <v>1048</v>
      </c>
    </row>
    <row r="69" spans="3:9" x14ac:dyDescent="0.25">
      <c r="C69" s="25" t="s">
        <v>1002</v>
      </c>
      <c r="D69" s="21">
        <v>144</v>
      </c>
      <c r="E69" s="21">
        <v>132</v>
      </c>
      <c r="F69" s="21">
        <v>276</v>
      </c>
      <c r="H69" t="s">
        <v>1084</v>
      </c>
    </row>
    <row r="70" spans="3:9" x14ac:dyDescent="0.25">
      <c r="C70" s="25" t="s">
        <v>1001</v>
      </c>
      <c r="D70" s="21">
        <v>326</v>
      </c>
      <c r="E70" s="21">
        <v>63</v>
      </c>
      <c r="F70" s="21">
        <v>389</v>
      </c>
      <c r="I70" t="e" vm="6">
        <f>IF(COUNTA(C58:C62)&gt;1,"",_xlfn.XLOOKUP(C58,Assets!E3:E7,Assets!F3:F7))</f>
        <v>#VALUE!</v>
      </c>
    </row>
    <row r="71" spans="3:9" x14ac:dyDescent="0.25">
      <c r="C71" s="25" t="s">
        <v>1000</v>
      </c>
      <c r="D71" s="21">
        <v>129</v>
      </c>
      <c r="E71" s="21">
        <v>206</v>
      </c>
      <c r="F71" s="21">
        <v>335</v>
      </c>
    </row>
    <row r="72" spans="3:9" x14ac:dyDescent="0.25">
      <c r="C72" s="25" t="s">
        <v>1048</v>
      </c>
      <c r="D72" s="21">
        <v>599</v>
      </c>
      <c r="E72" s="21">
        <v>401</v>
      </c>
      <c r="F72" s="21">
        <v>1000</v>
      </c>
    </row>
    <row r="77" spans="3:9" x14ac:dyDescent="0.25">
      <c r="C77" s="24" t="s">
        <v>1047</v>
      </c>
      <c r="D77" t="s">
        <v>1042</v>
      </c>
    </row>
    <row r="78" spans="3:9" x14ac:dyDescent="0.25">
      <c r="C78" s="25">
        <v>1</v>
      </c>
      <c r="D78" s="21">
        <v>3</v>
      </c>
    </row>
    <row r="79" spans="3:9" x14ac:dyDescent="0.25">
      <c r="C79" s="25">
        <v>2</v>
      </c>
      <c r="D79" s="21">
        <v>10</v>
      </c>
    </row>
    <row r="80" spans="3:9" x14ac:dyDescent="0.25">
      <c r="C80" s="25">
        <v>3</v>
      </c>
      <c r="D80" s="21">
        <v>41</v>
      </c>
    </row>
    <row r="81" spans="3:9" x14ac:dyDescent="0.25">
      <c r="C81" s="25">
        <v>4</v>
      </c>
      <c r="D81" s="21">
        <v>70</v>
      </c>
    </row>
    <row r="82" spans="3:9" x14ac:dyDescent="0.25">
      <c r="C82" s="25">
        <v>5</v>
      </c>
      <c r="D82" s="21">
        <v>62</v>
      </c>
    </row>
    <row r="83" spans="3:9" x14ac:dyDescent="0.25">
      <c r="C83" s="25" t="s">
        <v>1048</v>
      </c>
      <c r="D83" s="21">
        <v>186</v>
      </c>
    </row>
    <row r="87" spans="3:9" x14ac:dyDescent="0.25">
      <c r="C87" s="24" t="s">
        <v>1043</v>
      </c>
      <c r="D87" s="24" t="s">
        <v>1075</v>
      </c>
    </row>
    <row r="88" spans="3:9" x14ac:dyDescent="0.25">
      <c r="C88" s="24" t="s">
        <v>1047</v>
      </c>
      <c r="D88" t="s">
        <v>11</v>
      </c>
      <c r="E88" t="s">
        <v>9</v>
      </c>
      <c r="F88" t="s">
        <v>6</v>
      </c>
      <c r="G88" t="s">
        <v>13</v>
      </c>
      <c r="H88" t="s">
        <v>10</v>
      </c>
      <c r="I88" t="s">
        <v>1048</v>
      </c>
    </row>
    <row r="89" spans="3:9" x14ac:dyDescent="0.25">
      <c r="C89" s="25" t="s">
        <v>1002</v>
      </c>
    </row>
    <row r="90" spans="3:9" x14ac:dyDescent="0.25">
      <c r="C90" s="27" t="s">
        <v>20</v>
      </c>
      <c r="D90" s="22">
        <v>891</v>
      </c>
      <c r="E90" s="22">
        <v>1332</v>
      </c>
      <c r="F90" s="22">
        <v>1282</v>
      </c>
      <c r="G90" s="22">
        <v>739</v>
      </c>
      <c r="H90" s="22">
        <v>560</v>
      </c>
      <c r="I90" s="22">
        <v>4804</v>
      </c>
    </row>
    <row r="91" spans="3:9" x14ac:dyDescent="0.25">
      <c r="C91" s="27" t="s">
        <v>12</v>
      </c>
      <c r="D91" s="22">
        <v>1991</v>
      </c>
      <c r="E91" s="22">
        <v>1886</v>
      </c>
      <c r="F91" s="22">
        <v>1206</v>
      </c>
      <c r="G91" s="22">
        <v>884</v>
      </c>
      <c r="H91" s="22">
        <v>1722</v>
      </c>
      <c r="I91" s="22">
        <v>7689</v>
      </c>
    </row>
    <row r="92" spans="3:9" x14ac:dyDescent="0.25">
      <c r="C92" s="27" t="s">
        <v>8</v>
      </c>
      <c r="D92" s="22">
        <v>1163</v>
      </c>
      <c r="E92" s="22">
        <v>1180</v>
      </c>
      <c r="F92" s="22">
        <v>1616</v>
      </c>
      <c r="G92" s="22">
        <v>1043</v>
      </c>
      <c r="H92" s="22">
        <v>1747</v>
      </c>
      <c r="I92" s="22">
        <v>6749</v>
      </c>
    </row>
    <row r="93" spans="3:9" x14ac:dyDescent="0.25">
      <c r="C93" s="27" t="s">
        <v>16</v>
      </c>
      <c r="D93" s="22">
        <v>1438</v>
      </c>
      <c r="E93" s="22">
        <v>1616</v>
      </c>
      <c r="F93" s="22">
        <v>866</v>
      </c>
      <c r="G93" s="22">
        <v>829</v>
      </c>
      <c r="H93" s="22">
        <v>2070</v>
      </c>
      <c r="I93" s="22">
        <v>6819</v>
      </c>
    </row>
    <row r="94" spans="3:9" x14ac:dyDescent="0.25">
      <c r="C94" s="25" t="s">
        <v>1001</v>
      </c>
    </row>
    <row r="95" spans="3:9" x14ac:dyDescent="0.25">
      <c r="C95" s="27" t="s">
        <v>24</v>
      </c>
      <c r="D95" s="22">
        <v>1233</v>
      </c>
      <c r="E95" s="22">
        <v>223</v>
      </c>
      <c r="F95" s="22">
        <v>1680</v>
      </c>
      <c r="G95" s="22">
        <v>990</v>
      </c>
      <c r="H95" s="22">
        <v>1508</v>
      </c>
      <c r="I95" s="22">
        <v>5634</v>
      </c>
    </row>
    <row r="96" spans="3:9" x14ac:dyDescent="0.25">
      <c r="C96" s="27" t="s">
        <v>15</v>
      </c>
      <c r="D96" s="22">
        <v>1598</v>
      </c>
      <c r="E96" s="22">
        <v>1907</v>
      </c>
      <c r="F96" s="22">
        <v>869</v>
      </c>
      <c r="G96" s="22">
        <v>1426</v>
      </c>
      <c r="H96" s="22">
        <v>1416</v>
      </c>
      <c r="I96" s="22">
        <v>7216</v>
      </c>
    </row>
    <row r="97" spans="3:9" x14ac:dyDescent="0.25">
      <c r="C97" s="27" t="s">
        <v>5</v>
      </c>
      <c r="D97" s="22">
        <v>900</v>
      </c>
      <c r="E97" s="22">
        <v>1016</v>
      </c>
      <c r="F97" s="22">
        <v>960</v>
      </c>
      <c r="G97" s="22">
        <v>940</v>
      </c>
      <c r="H97" s="22">
        <v>1193</v>
      </c>
      <c r="I97" s="22">
        <v>5009</v>
      </c>
    </row>
    <row r="98" spans="3:9" x14ac:dyDescent="0.25">
      <c r="C98" s="27" t="s">
        <v>18</v>
      </c>
      <c r="D98" s="22">
        <v>900</v>
      </c>
      <c r="E98" s="22">
        <v>1470</v>
      </c>
      <c r="F98" s="22">
        <v>1617</v>
      </c>
      <c r="G98" s="22">
        <v>1314</v>
      </c>
      <c r="H98" s="22">
        <v>941</v>
      </c>
      <c r="I98" s="22">
        <v>6242</v>
      </c>
    </row>
    <row r="99" spans="3:9" x14ac:dyDescent="0.25">
      <c r="C99" s="27" t="s">
        <v>14</v>
      </c>
      <c r="D99" s="22">
        <v>1255</v>
      </c>
      <c r="E99" s="22">
        <v>516</v>
      </c>
      <c r="F99" s="22">
        <v>1874</v>
      </c>
      <c r="G99" s="22">
        <v>1863</v>
      </c>
      <c r="H99" s="22">
        <v>1722</v>
      </c>
      <c r="I99" s="22">
        <v>7230</v>
      </c>
    </row>
    <row r="100" spans="3:9" x14ac:dyDescent="0.25">
      <c r="C100" s="27" t="s">
        <v>19</v>
      </c>
      <c r="D100" s="22">
        <v>1138</v>
      </c>
      <c r="E100" s="22">
        <v>1898</v>
      </c>
      <c r="F100" s="22">
        <v>1482</v>
      </c>
      <c r="G100" s="22">
        <v>846</v>
      </c>
      <c r="H100" s="22">
        <v>1154</v>
      </c>
      <c r="I100" s="22">
        <v>6518</v>
      </c>
    </row>
    <row r="101" spans="3:9" x14ac:dyDescent="0.25">
      <c r="C101" s="25" t="s">
        <v>1000</v>
      </c>
    </row>
    <row r="102" spans="3:9" x14ac:dyDescent="0.25">
      <c r="C102" s="27" t="s">
        <v>17</v>
      </c>
      <c r="D102" s="22">
        <v>1655</v>
      </c>
      <c r="E102" s="22">
        <v>805</v>
      </c>
      <c r="F102" s="22">
        <v>2263</v>
      </c>
      <c r="G102" s="22">
        <v>987</v>
      </c>
      <c r="H102" s="22">
        <v>1075</v>
      </c>
      <c r="I102" s="22">
        <v>6785</v>
      </c>
    </row>
    <row r="103" spans="3:9" x14ac:dyDescent="0.25">
      <c r="C103" s="27" t="s">
        <v>23</v>
      </c>
      <c r="D103" s="22">
        <v>1104</v>
      </c>
      <c r="E103" s="22">
        <v>2280</v>
      </c>
      <c r="F103" s="22">
        <v>1445</v>
      </c>
      <c r="G103" s="22">
        <v>1722</v>
      </c>
      <c r="H103" s="22">
        <v>1196</v>
      </c>
      <c r="I103" s="22">
        <v>7747</v>
      </c>
    </row>
    <row r="104" spans="3:9" x14ac:dyDescent="0.25">
      <c r="C104" s="27" t="s">
        <v>7</v>
      </c>
      <c r="D104" s="22">
        <v>372</v>
      </c>
      <c r="E104" s="22">
        <v>1818</v>
      </c>
      <c r="F104" s="22">
        <v>1346</v>
      </c>
      <c r="G104" s="22">
        <v>1156</v>
      </c>
      <c r="H104" s="22">
        <v>1484</v>
      </c>
      <c r="I104" s="22">
        <v>6176</v>
      </c>
    </row>
    <row r="105" spans="3:9" x14ac:dyDescent="0.25">
      <c r="C105" s="27" t="s">
        <v>22</v>
      </c>
      <c r="D105" s="22">
        <v>1415</v>
      </c>
      <c r="E105" s="22">
        <v>1271</v>
      </c>
      <c r="F105" s="22">
        <v>1214</v>
      </c>
      <c r="G105" s="22">
        <v>1135</v>
      </c>
      <c r="H105" s="22">
        <v>1566</v>
      </c>
      <c r="I105" s="22">
        <v>6601</v>
      </c>
    </row>
    <row r="106" spans="3:9" x14ac:dyDescent="0.25">
      <c r="C106" s="27" t="s">
        <v>21</v>
      </c>
      <c r="D106" s="22">
        <v>1362</v>
      </c>
      <c r="E106" s="22">
        <v>1363</v>
      </c>
      <c r="F106" s="22">
        <v>1152</v>
      </c>
      <c r="G106" s="22">
        <v>777</v>
      </c>
      <c r="H106" s="22">
        <v>750</v>
      </c>
      <c r="I106"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313F8-628E-44B2-83DE-91389EF22E64}">
  <dimension ref="A1:AV200"/>
  <sheetViews>
    <sheetView tabSelected="1" topLeftCell="I5" zoomScale="70" zoomScaleNormal="70" workbookViewId="0">
      <selection activeCell="AE30" sqref="AE30"/>
    </sheetView>
  </sheetViews>
  <sheetFormatPr defaultRowHeight="13.8" x14ac:dyDescent="0.25"/>
  <cols>
    <col min="1" max="1" width="1.3984375" customWidth="1"/>
    <col min="2" max="2" width="2.09765625" customWidth="1"/>
    <col min="3" max="5" width="8.796875" customWidth="1"/>
    <col min="15" max="16" width="8.796875" customWidth="1"/>
    <col min="17" max="17" width="13.3984375" customWidth="1"/>
    <col min="18" max="18" width="8.796875" customWidth="1"/>
    <col min="21" max="21" width="7.3984375" customWidth="1"/>
    <col min="22" max="22" width="10.09765625" customWidth="1"/>
    <col min="26" max="26" width="10.5" customWidth="1"/>
    <col min="29" max="29" width="8.796875" customWidth="1"/>
  </cols>
  <sheetData>
    <row r="1" spans="1:48" ht="3.6" customHeight="1"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row>
    <row r="2" spans="1:48" hidden="1"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row>
    <row r="3" spans="1:48" ht="70.2" customHeight="1" x14ac:dyDescent="0.9">
      <c r="A3" s="20"/>
      <c r="B3" s="20"/>
      <c r="C3" s="40" t="s">
        <v>1085</v>
      </c>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row>
    <row r="4" spans="1:48"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row>
    <row r="5" spans="1:48" ht="7.8" customHeight="1"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row>
    <row r="6" spans="1:48" hidden="1"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row>
    <row r="7" spans="1:48"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row>
    <row r="8" spans="1:48"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row>
    <row r="9" spans="1:48"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row>
    <row r="10" spans="1:48"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row>
    <row r="11" spans="1:48"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row>
    <row r="12" spans="1:48"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row>
    <row r="13" spans="1:48"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row>
    <row r="14" spans="1:48"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row>
    <row r="15" spans="1:48"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row>
    <row r="16" spans="1:48"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row>
    <row r="17" spans="1:48"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row>
    <row r="18" spans="1:48"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row>
    <row r="19" spans="1:48"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row>
    <row r="20" spans="1:48"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row>
    <row r="21" spans="1:48"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row>
    <row r="22" spans="1:48"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row>
    <row r="23" spans="1:48"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row>
    <row r="24" spans="1:48"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row>
    <row r="25" spans="1:48"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row>
    <row r="26" spans="1:48" ht="23.4" x14ac:dyDescent="0.45">
      <c r="A26" s="20"/>
      <c r="B26" s="20"/>
      <c r="C26" s="20"/>
      <c r="D26" s="20"/>
      <c r="E26" s="20"/>
      <c r="F26" s="20"/>
      <c r="G26" s="20"/>
      <c r="H26" s="20"/>
      <c r="I26" s="20"/>
      <c r="J26" s="20"/>
      <c r="K26" s="20"/>
      <c r="L26" s="20"/>
      <c r="M26" s="20"/>
      <c r="N26" s="29"/>
      <c r="O26" s="30" t="str" cm="1">
        <f t="array" ref="O26:S26">'Pivot Table'!D88:H88</f>
        <v>R01</v>
      </c>
      <c r="P26" s="30" t="str">
        <v>R02</v>
      </c>
      <c r="Q26" s="30" t="str">
        <v>R03</v>
      </c>
      <c r="R26" s="30" t="str">
        <v>R04</v>
      </c>
      <c r="S26" s="30" t="str">
        <v>R05</v>
      </c>
      <c r="T26" s="31" t="s">
        <v>1076</v>
      </c>
      <c r="U26" s="20"/>
      <c r="V26" s="20"/>
      <c r="W26" s="20"/>
      <c r="X26" s="38" t="str">
        <f>'Pivot Table'!I64</f>
        <v>% Of Calls : 19%</v>
      </c>
      <c r="Y26" s="37"/>
      <c r="Z26" s="37"/>
      <c r="AA26" s="20"/>
      <c r="AB26" s="20"/>
      <c r="AC26" s="20"/>
      <c r="AD26" s="20"/>
      <c r="AE26" s="20"/>
      <c r="AF26" s="20"/>
      <c r="AG26" s="20"/>
      <c r="AH26" s="20"/>
      <c r="AI26" s="20"/>
      <c r="AJ26" s="20"/>
      <c r="AK26" s="20"/>
      <c r="AL26" s="20"/>
      <c r="AM26" s="20"/>
      <c r="AN26" s="20"/>
      <c r="AO26" s="20"/>
      <c r="AP26" s="20"/>
      <c r="AQ26" s="20"/>
      <c r="AR26" s="20"/>
      <c r="AS26" s="20"/>
      <c r="AT26" s="20"/>
      <c r="AU26" s="20"/>
      <c r="AV26" s="20"/>
    </row>
    <row r="27" spans="1:48" ht="14.4" x14ac:dyDescent="0.3">
      <c r="A27" s="20"/>
      <c r="B27" s="20"/>
      <c r="C27" s="20"/>
      <c r="D27" s="20"/>
      <c r="E27" s="20"/>
      <c r="F27" s="20"/>
      <c r="G27" s="20"/>
      <c r="H27" s="20"/>
      <c r="I27" s="20"/>
      <c r="J27" s="20"/>
      <c r="K27" s="20"/>
      <c r="L27" s="20"/>
      <c r="M27" s="20"/>
      <c r="N27" s="32" t="str" cm="1">
        <f t="array" ref="N27:T44">IF('Pivot Table'!C89:I106 = "","",'Pivot Table'!C89:I106)</f>
        <v>Cincinnati</v>
      </c>
      <c r="O27" s="33" t="str">
        <v/>
      </c>
      <c r="P27" s="33" t="str">
        <v/>
      </c>
      <c r="Q27" s="33" t="str">
        <v/>
      </c>
      <c r="R27" s="33" t="str">
        <v/>
      </c>
      <c r="S27" s="33" t="str">
        <v/>
      </c>
      <c r="T27" s="33" t="str">
        <v/>
      </c>
      <c r="U27" s="20"/>
      <c r="V27" s="20"/>
      <c r="W27" s="20"/>
      <c r="X27" s="37"/>
      <c r="Y27" s="37"/>
      <c r="Z27" s="37"/>
      <c r="AA27" s="20"/>
      <c r="AB27" s="20"/>
      <c r="AC27" s="20"/>
      <c r="AD27" s="20"/>
      <c r="AE27" s="20"/>
      <c r="AF27" s="20"/>
      <c r="AG27" s="20"/>
      <c r="AH27" s="20"/>
      <c r="AI27" s="20"/>
      <c r="AJ27" s="20"/>
      <c r="AK27" s="20"/>
      <c r="AL27" s="20"/>
      <c r="AM27" s="20"/>
      <c r="AN27" s="20"/>
      <c r="AO27" s="20"/>
      <c r="AP27" s="20"/>
      <c r="AQ27" s="20"/>
      <c r="AR27" s="20"/>
      <c r="AS27" s="20"/>
      <c r="AT27" s="20"/>
      <c r="AU27" s="20"/>
      <c r="AV27" s="20"/>
    </row>
    <row r="28" spans="1:48" ht="23.4" x14ac:dyDescent="0.45">
      <c r="A28" s="20"/>
      <c r="B28" s="20"/>
      <c r="C28" s="20"/>
      <c r="D28" s="20"/>
      <c r="E28" s="20"/>
      <c r="F28" s="20"/>
      <c r="G28" s="20"/>
      <c r="H28" s="20"/>
      <c r="I28" s="20"/>
      <c r="J28" s="20"/>
      <c r="K28" s="20"/>
      <c r="L28" s="20"/>
      <c r="M28" s="20"/>
      <c r="N28" s="34" t="str">
        <v>C0003</v>
      </c>
      <c r="O28" s="28">
        <v>891</v>
      </c>
      <c r="P28" s="28">
        <v>1332</v>
      </c>
      <c r="Q28" s="28">
        <v>1282</v>
      </c>
      <c r="R28" s="28">
        <v>739</v>
      </c>
      <c r="S28" s="28">
        <v>560</v>
      </c>
      <c r="T28" s="28">
        <v>4804</v>
      </c>
      <c r="U28" s="20"/>
      <c r="V28" s="20"/>
      <c r="W28" s="20"/>
      <c r="X28" s="38" t="str">
        <f>'Pivot Table'!I65</f>
        <v>Call Ranks :5</v>
      </c>
      <c r="Y28" s="37"/>
      <c r="Z28" s="37"/>
      <c r="AA28" s="20"/>
      <c r="AB28" s="20"/>
      <c r="AC28" s="20"/>
      <c r="AD28" s="20"/>
      <c r="AE28" s="20"/>
      <c r="AF28" s="20"/>
      <c r="AG28" s="20"/>
      <c r="AH28" s="20"/>
      <c r="AI28" s="20"/>
      <c r="AJ28" s="20"/>
      <c r="AK28" s="20"/>
      <c r="AL28" s="20"/>
      <c r="AM28" s="20"/>
      <c r="AN28" s="20"/>
      <c r="AO28" s="20"/>
      <c r="AP28" s="20"/>
      <c r="AQ28" s="20"/>
      <c r="AR28" s="20"/>
      <c r="AS28" s="20"/>
      <c r="AT28" s="20"/>
      <c r="AU28" s="20"/>
      <c r="AV28" s="20"/>
    </row>
    <row r="29" spans="1:48" ht="14.4" x14ac:dyDescent="0.3">
      <c r="A29" s="20"/>
      <c r="B29" s="20"/>
      <c r="C29" s="20"/>
      <c r="D29" s="20"/>
      <c r="E29" s="20"/>
      <c r="F29" s="20"/>
      <c r="G29" s="20"/>
      <c r="H29" s="20"/>
      <c r="I29" s="20"/>
      <c r="J29" s="20"/>
      <c r="K29" s="20"/>
      <c r="L29" s="20"/>
      <c r="M29" s="20"/>
      <c r="N29" s="34" t="str">
        <v>C0004</v>
      </c>
      <c r="O29" s="28">
        <v>1991</v>
      </c>
      <c r="P29" s="28">
        <v>1886</v>
      </c>
      <c r="Q29" s="28">
        <v>1206</v>
      </c>
      <c r="R29" s="28">
        <v>884</v>
      </c>
      <c r="S29" s="28">
        <v>1722</v>
      </c>
      <c r="T29" s="28">
        <v>7689</v>
      </c>
      <c r="U29" s="20"/>
      <c r="V29" s="20"/>
      <c r="W29" s="20"/>
      <c r="X29" s="37"/>
      <c r="Y29" s="37"/>
      <c r="Z29" s="37"/>
      <c r="AA29" s="20"/>
      <c r="AB29" s="20"/>
      <c r="AC29" s="20"/>
      <c r="AD29" s="20"/>
      <c r="AE29" s="20"/>
      <c r="AF29" s="20"/>
      <c r="AG29" s="20"/>
      <c r="AH29" s="20"/>
      <c r="AI29" s="20"/>
      <c r="AJ29" s="20"/>
      <c r="AK29" s="20"/>
      <c r="AL29" s="20"/>
      <c r="AM29" s="20"/>
      <c r="AN29" s="20"/>
      <c r="AO29" s="20"/>
      <c r="AP29" s="20"/>
      <c r="AQ29" s="20"/>
      <c r="AR29" s="20"/>
      <c r="AS29" s="20"/>
      <c r="AT29" s="20"/>
      <c r="AU29" s="20"/>
      <c r="AV29" s="20"/>
    </row>
    <row r="30" spans="1:48" ht="23.4" x14ac:dyDescent="0.45">
      <c r="A30" s="20"/>
      <c r="B30" s="20"/>
      <c r="C30" s="20"/>
      <c r="D30" s="20"/>
      <c r="E30" s="20"/>
      <c r="F30" s="20"/>
      <c r="G30" s="20"/>
      <c r="H30" s="20"/>
      <c r="I30" s="20"/>
      <c r="J30" s="20"/>
      <c r="K30" s="20"/>
      <c r="L30" s="20"/>
      <c r="M30" s="20"/>
      <c r="N30" s="34" t="str">
        <v>C0011</v>
      </c>
      <c r="O30" s="28">
        <v>1163</v>
      </c>
      <c r="P30" s="28">
        <v>1180</v>
      </c>
      <c r="Q30" s="28">
        <v>1616</v>
      </c>
      <c r="R30" s="28">
        <v>1043</v>
      </c>
      <c r="S30" s="28">
        <v>1747</v>
      </c>
      <c r="T30" s="28">
        <v>6749</v>
      </c>
      <c r="U30" s="20"/>
      <c r="V30" s="20"/>
      <c r="W30" s="20"/>
      <c r="X30" s="38" t="str">
        <f>'Pivot Table'!I66</f>
        <v>Amount Ranks :5</v>
      </c>
      <c r="Y30" s="37"/>
      <c r="Z30" s="37"/>
      <c r="AA30" s="20"/>
      <c r="AB30" s="20"/>
      <c r="AC30" s="20"/>
      <c r="AD30" s="20"/>
      <c r="AE30" s="20"/>
      <c r="AF30" s="20"/>
      <c r="AG30" s="20"/>
      <c r="AH30" s="20"/>
      <c r="AI30" s="20"/>
      <c r="AJ30" s="20"/>
      <c r="AK30" s="20"/>
      <c r="AL30" s="20"/>
      <c r="AM30" s="20"/>
      <c r="AN30" s="20"/>
      <c r="AO30" s="20"/>
      <c r="AP30" s="20"/>
      <c r="AQ30" s="20"/>
      <c r="AR30" s="20"/>
      <c r="AS30" s="20"/>
      <c r="AT30" s="20"/>
      <c r="AU30" s="20"/>
      <c r="AV30" s="20"/>
    </row>
    <row r="31" spans="1:48" ht="14.4" x14ac:dyDescent="0.3">
      <c r="A31" s="20"/>
      <c r="B31" s="20"/>
      <c r="C31" s="20"/>
      <c r="D31" s="20"/>
      <c r="E31" s="20"/>
      <c r="F31" s="20"/>
      <c r="G31" s="20"/>
      <c r="H31" s="20"/>
      <c r="I31" s="20"/>
      <c r="J31" s="20"/>
      <c r="K31" s="20"/>
      <c r="L31" s="20"/>
      <c r="M31" s="20"/>
      <c r="N31" s="34" t="str">
        <v>C0012</v>
      </c>
      <c r="O31" s="28">
        <v>1438</v>
      </c>
      <c r="P31" s="28">
        <v>1616</v>
      </c>
      <c r="Q31" s="28">
        <v>866</v>
      </c>
      <c r="R31" s="28">
        <v>829</v>
      </c>
      <c r="S31" s="28">
        <v>2070</v>
      </c>
      <c r="T31" s="28">
        <v>6819</v>
      </c>
      <c r="U31" s="20"/>
      <c r="V31" s="20"/>
      <c r="W31" s="20"/>
      <c r="X31" s="20"/>
      <c r="Y31" s="37"/>
      <c r="Z31" s="37"/>
      <c r="AA31" s="20"/>
      <c r="AB31" s="20"/>
      <c r="AC31" s="20"/>
      <c r="AD31" s="20"/>
      <c r="AE31" s="20"/>
      <c r="AF31" s="20"/>
      <c r="AG31" s="20"/>
      <c r="AH31" s="20"/>
      <c r="AI31" s="20"/>
      <c r="AJ31" s="20"/>
      <c r="AK31" s="20"/>
      <c r="AL31" s="20"/>
      <c r="AM31" s="20"/>
      <c r="AN31" s="20"/>
      <c r="AO31" s="20"/>
      <c r="AP31" s="20"/>
      <c r="AQ31" s="20"/>
      <c r="AR31" s="20"/>
      <c r="AS31" s="20"/>
      <c r="AT31" s="20"/>
      <c r="AU31" s="20"/>
      <c r="AV31" s="20"/>
    </row>
    <row r="32" spans="1:48" ht="14.4" x14ac:dyDescent="0.3">
      <c r="A32" s="20"/>
      <c r="B32" s="20"/>
      <c r="C32" s="20"/>
      <c r="D32" s="20"/>
      <c r="E32" s="20"/>
      <c r="F32" s="20"/>
      <c r="G32" s="20"/>
      <c r="H32" s="20"/>
      <c r="I32" s="20"/>
      <c r="J32" s="20"/>
      <c r="K32" s="20"/>
      <c r="L32" s="20"/>
      <c r="M32" s="20"/>
      <c r="N32" s="35" t="str">
        <v>Cleveland</v>
      </c>
      <c r="O32" s="28" t="str">
        <v/>
      </c>
      <c r="P32" s="28" t="str">
        <v/>
      </c>
      <c r="Q32" s="28" t="str">
        <v/>
      </c>
      <c r="R32" s="28" t="str">
        <v/>
      </c>
      <c r="S32" s="28" t="str">
        <v/>
      </c>
      <c r="T32" s="28" t="str">
        <v/>
      </c>
      <c r="U32" s="20"/>
      <c r="V32" s="20"/>
      <c r="W32" s="20"/>
      <c r="X32" s="37"/>
      <c r="Y32" s="37"/>
      <c r="Z32" s="37"/>
      <c r="AA32" s="20"/>
      <c r="AB32" s="20"/>
      <c r="AC32" s="20"/>
      <c r="AD32" s="20"/>
      <c r="AE32" s="20"/>
      <c r="AF32" s="20"/>
      <c r="AG32" s="20"/>
      <c r="AH32" s="20"/>
      <c r="AI32" s="20"/>
      <c r="AJ32" s="20"/>
      <c r="AK32" s="20"/>
      <c r="AL32" s="20"/>
      <c r="AM32" s="20"/>
      <c r="AN32" s="20"/>
      <c r="AO32" s="20"/>
      <c r="AP32" s="20"/>
      <c r="AQ32" s="20"/>
      <c r="AR32" s="20"/>
      <c r="AS32" s="20"/>
      <c r="AT32" s="20"/>
      <c r="AU32" s="20"/>
      <c r="AV32" s="20"/>
    </row>
    <row r="33" spans="1:48" ht="14.4" x14ac:dyDescent="0.3">
      <c r="A33" s="20"/>
      <c r="B33" s="20"/>
      <c r="C33" s="20"/>
      <c r="D33" s="20"/>
      <c r="E33" s="20"/>
      <c r="F33" s="20"/>
      <c r="G33" s="20"/>
      <c r="H33" s="20"/>
      <c r="I33" s="20"/>
      <c r="J33" s="20"/>
      <c r="K33" s="20"/>
      <c r="L33" s="20"/>
      <c r="M33" s="20"/>
      <c r="N33" s="34" t="str">
        <v>C0002</v>
      </c>
      <c r="O33" s="28">
        <v>1233</v>
      </c>
      <c r="P33" s="28">
        <v>223</v>
      </c>
      <c r="Q33" s="28">
        <v>1680</v>
      </c>
      <c r="R33" s="28">
        <v>990</v>
      </c>
      <c r="S33" s="28">
        <v>1508</v>
      </c>
      <c r="T33" s="28">
        <v>5634</v>
      </c>
      <c r="U33" s="20"/>
      <c r="V33" s="20"/>
      <c r="W33" s="20"/>
      <c r="X33" s="39" t="e" vm="6">
        <f>'Pivot Table'!I70</f>
        <v>#VALUE!</v>
      </c>
      <c r="Y33" s="39"/>
      <c r="Z33" s="39"/>
      <c r="AA33" s="20"/>
      <c r="AB33" s="20"/>
      <c r="AC33" s="20"/>
      <c r="AD33" s="20"/>
      <c r="AE33" s="20"/>
      <c r="AF33" s="20"/>
      <c r="AG33" s="20"/>
      <c r="AH33" s="20"/>
      <c r="AI33" s="20"/>
      <c r="AJ33" s="20"/>
      <c r="AK33" s="20"/>
      <c r="AL33" s="20"/>
      <c r="AM33" s="20"/>
      <c r="AN33" s="20"/>
      <c r="AO33" s="20"/>
      <c r="AP33" s="20"/>
      <c r="AQ33" s="20"/>
      <c r="AR33" s="20"/>
      <c r="AS33" s="20"/>
      <c r="AT33" s="20"/>
      <c r="AU33" s="20"/>
      <c r="AV33" s="20"/>
    </row>
    <row r="34" spans="1:48" ht="14.4" x14ac:dyDescent="0.3">
      <c r="A34" s="20"/>
      <c r="B34" s="20"/>
      <c r="C34" s="20"/>
      <c r="D34" s="20"/>
      <c r="E34" s="20"/>
      <c r="F34" s="20"/>
      <c r="G34" s="20"/>
      <c r="H34" s="20"/>
      <c r="I34" s="20"/>
      <c r="J34" s="20"/>
      <c r="K34" s="20"/>
      <c r="L34" s="20"/>
      <c r="M34" s="20"/>
      <c r="N34" s="34" t="str">
        <v>C0007</v>
      </c>
      <c r="O34" s="28">
        <v>1598</v>
      </c>
      <c r="P34" s="28">
        <v>1907</v>
      </c>
      <c r="Q34" s="28">
        <v>869</v>
      </c>
      <c r="R34" s="28">
        <v>1426</v>
      </c>
      <c r="S34" s="28">
        <v>1416</v>
      </c>
      <c r="T34" s="28">
        <v>7216</v>
      </c>
      <c r="U34" s="20"/>
      <c r="V34" s="20"/>
      <c r="W34" s="20"/>
      <c r="X34" s="39"/>
      <c r="Y34" s="39"/>
      <c r="Z34" s="39"/>
      <c r="AA34" s="20"/>
      <c r="AB34" s="20"/>
      <c r="AC34" s="20"/>
      <c r="AD34" s="20"/>
      <c r="AE34" s="20"/>
      <c r="AF34" s="20"/>
      <c r="AG34" s="20"/>
      <c r="AH34" s="20"/>
      <c r="AI34" s="20"/>
      <c r="AJ34" s="20"/>
      <c r="AK34" s="20"/>
      <c r="AL34" s="20"/>
      <c r="AM34" s="20"/>
      <c r="AN34" s="20"/>
      <c r="AO34" s="20"/>
      <c r="AP34" s="20"/>
      <c r="AQ34" s="20"/>
      <c r="AR34" s="20"/>
      <c r="AS34" s="20"/>
      <c r="AT34" s="20"/>
      <c r="AU34" s="20"/>
      <c r="AV34" s="20"/>
    </row>
    <row r="35" spans="1:48" ht="14.4" x14ac:dyDescent="0.3">
      <c r="A35" s="20"/>
      <c r="B35" s="20"/>
      <c r="C35" s="20"/>
      <c r="D35" s="20"/>
      <c r="E35" s="20"/>
      <c r="F35" s="20"/>
      <c r="G35" s="20"/>
      <c r="H35" s="20"/>
      <c r="I35" s="20"/>
      <c r="J35" s="20"/>
      <c r="K35" s="20"/>
      <c r="L35" s="20"/>
      <c r="M35" s="20"/>
      <c r="N35" s="34" t="str">
        <v>C0008</v>
      </c>
      <c r="O35" s="28">
        <v>900</v>
      </c>
      <c r="P35" s="28">
        <v>1016</v>
      </c>
      <c r="Q35" s="28">
        <v>960</v>
      </c>
      <c r="R35" s="28">
        <v>940</v>
      </c>
      <c r="S35" s="28">
        <v>1193</v>
      </c>
      <c r="T35" s="28">
        <v>5009</v>
      </c>
      <c r="U35" s="20"/>
      <c r="V35" s="20"/>
      <c r="W35" s="20"/>
      <c r="X35" s="39"/>
      <c r="Y35" s="39"/>
      <c r="Z35" s="39"/>
      <c r="AA35" s="20"/>
      <c r="AB35" s="20"/>
      <c r="AC35" s="20"/>
      <c r="AD35" s="20"/>
      <c r="AE35" s="20"/>
      <c r="AF35" s="20"/>
      <c r="AG35" s="20"/>
      <c r="AH35" s="20"/>
      <c r="AI35" s="20"/>
      <c r="AJ35" s="20"/>
      <c r="AK35" s="20"/>
      <c r="AL35" s="20"/>
      <c r="AM35" s="20"/>
      <c r="AN35" s="20"/>
      <c r="AO35" s="20"/>
      <c r="AP35" s="20"/>
      <c r="AQ35" s="20"/>
      <c r="AR35" s="20"/>
      <c r="AS35" s="20"/>
      <c r="AT35" s="20"/>
      <c r="AU35" s="20"/>
      <c r="AV35" s="20"/>
    </row>
    <row r="36" spans="1:48" ht="14.4" x14ac:dyDescent="0.3">
      <c r="A36" s="20"/>
      <c r="B36" s="20"/>
      <c r="C36" s="20"/>
      <c r="D36" s="20"/>
      <c r="E36" s="20"/>
      <c r="F36" s="20"/>
      <c r="G36" s="20"/>
      <c r="H36" s="20"/>
      <c r="I36" s="20"/>
      <c r="J36" s="20"/>
      <c r="K36" s="20"/>
      <c r="L36" s="20"/>
      <c r="M36" s="20"/>
      <c r="N36" s="34" t="str">
        <v>C0010</v>
      </c>
      <c r="O36" s="28">
        <v>900</v>
      </c>
      <c r="P36" s="28">
        <v>1470</v>
      </c>
      <c r="Q36" s="28">
        <v>1617</v>
      </c>
      <c r="R36" s="28">
        <v>1314</v>
      </c>
      <c r="S36" s="28">
        <v>941</v>
      </c>
      <c r="T36" s="28">
        <v>6242</v>
      </c>
      <c r="U36" s="20"/>
      <c r="V36" s="20"/>
      <c r="W36" s="20"/>
      <c r="X36" s="39"/>
      <c r="Y36" s="39"/>
      <c r="Z36" s="39"/>
      <c r="AA36" s="20"/>
      <c r="AB36" s="20"/>
      <c r="AC36" s="20"/>
      <c r="AD36" s="20"/>
      <c r="AE36" s="20"/>
      <c r="AF36" s="20"/>
      <c r="AG36" s="20"/>
      <c r="AH36" s="20"/>
      <c r="AI36" s="20"/>
      <c r="AJ36" s="20"/>
      <c r="AK36" s="20"/>
      <c r="AL36" s="20"/>
      <c r="AM36" s="20"/>
      <c r="AN36" s="20"/>
      <c r="AO36" s="20"/>
      <c r="AP36" s="20"/>
      <c r="AQ36" s="20"/>
      <c r="AR36" s="20"/>
      <c r="AS36" s="20"/>
      <c r="AT36" s="20"/>
      <c r="AU36" s="20"/>
      <c r="AV36" s="20"/>
    </row>
    <row r="37" spans="1:48" ht="14.4" x14ac:dyDescent="0.3">
      <c r="A37" s="20"/>
      <c r="B37" s="20"/>
      <c r="C37" s="20"/>
      <c r="D37" s="20"/>
      <c r="E37" s="20"/>
      <c r="F37" s="20"/>
      <c r="G37" s="20"/>
      <c r="H37" s="20"/>
      <c r="I37" s="20"/>
      <c r="J37" s="20"/>
      <c r="K37" s="20"/>
      <c r="L37" s="20"/>
      <c r="M37" s="20"/>
      <c r="N37" s="34" t="str">
        <v>C0013</v>
      </c>
      <c r="O37" s="28">
        <v>1255</v>
      </c>
      <c r="P37" s="28">
        <v>516</v>
      </c>
      <c r="Q37" s="28">
        <v>1874</v>
      </c>
      <c r="R37" s="28">
        <v>1863</v>
      </c>
      <c r="S37" s="28">
        <v>1722</v>
      </c>
      <c r="T37" s="28">
        <v>7230</v>
      </c>
      <c r="U37" s="20"/>
      <c r="V37" s="20"/>
      <c r="W37" s="20"/>
      <c r="X37" s="39"/>
      <c r="Y37" s="39"/>
      <c r="Z37" s="39"/>
      <c r="AA37" s="20"/>
      <c r="AB37" s="20"/>
      <c r="AC37" s="20"/>
      <c r="AD37" s="20"/>
      <c r="AE37" s="20"/>
      <c r="AF37" s="20"/>
      <c r="AG37" s="20"/>
      <c r="AH37" s="20"/>
      <c r="AI37" s="20"/>
      <c r="AJ37" s="20"/>
      <c r="AK37" s="20"/>
      <c r="AL37" s="20"/>
      <c r="AM37" s="20"/>
      <c r="AN37" s="20"/>
      <c r="AO37" s="20"/>
      <c r="AP37" s="20"/>
      <c r="AQ37" s="20"/>
      <c r="AR37" s="20"/>
      <c r="AS37" s="20"/>
      <c r="AT37" s="20"/>
      <c r="AU37" s="20"/>
      <c r="AV37" s="20"/>
    </row>
    <row r="38" spans="1:48" ht="14.4" x14ac:dyDescent="0.3">
      <c r="A38" s="20"/>
      <c r="B38" s="20"/>
      <c r="C38" s="20"/>
      <c r="D38" s="20"/>
      <c r="E38" s="20"/>
      <c r="F38" s="20"/>
      <c r="G38" s="20"/>
      <c r="H38" s="20"/>
      <c r="I38" s="20"/>
      <c r="J38" s="20"/>
      <c r="K38" s="20"/>
      <c r="L38" s="20"/>
      <c r="M38" s="20"/>
      <c r="N38" s="34" t="str">
        <v>C0015</v>
      </c>
      <c r="O38" s="28">
        <v>1138</v>
      </c>
      <c r="P38" s="28">
        <v>1898</v>
      </c>
      <c r="Q38" s="28">
        <v>1482</v>
      </c>
      <c r="R38" s="28">
        <v>846</v>
      </c>
      <c r="S38" s="28">
        <v>1154</v>
      </c>
      <c r="T38" s="28">
        <v>6518</v>
      </c>
      <c r="U38" s="20"/>
      <c r="V38" s="20"/>
      <c r="W38" s="20"/>
      <c r="X38" s="39"/>
      <c r="Y38" s="39"/>
      <c r="Z38" s="39"/>
      <c r="AA38" s="20"/>
      <c r="AB38" s="20"/>
      <c r="AC38" s="20"/>
      <c r="AD38" s="20"/>
      <c r="AE38" s="20"/>
      <c r="AF38" s="20"/>
      <c r="AG38" s="20"/>
      <c r="AH38" s="20"/>
      <c r="AI38" s="20"/>
      <c r="AJ38" s="20"/>
      <c r="AK38" s="20"/>
      <c r="AL38" s="20"/>
      <c r="AM38" s="20"/>
      <c r="AN38" s="20"/>
      <c r="AO38" s="20"/>
      <c r="AP38" s="20"/>
      <c r="AQ38" s="20"/>
      <c r="AR38" s="20"/>
      <c r="AS38" s="20"/>
      <c r="AT38" s="20"/>
      <c r="AU38" s="20"/>
      <c r="AV38" s="20"/>
    </row>
    <row r="39" spans="1:48" ht="14.4" x14ac:dyDescent="0.3">
      <c r="A39" s="20"/>
      <c r="B39" s="20"/>
      <c r="C39" s="20"/>
      <c r="D39" s="20"/>
      <c r="E39" s="20"/>
      <c r="F39" s="20"/>
      <c r="G39" s="20"/>
      <c r="H39" s="20"/>
      <c r="I39" s="20"/>
      <c r="J39" s="20"/>
      <c r="K39" s="20"/>
      <c r="L39" s="20"/>
      <c r="M39" s="20"/>
      <c r="N39" s="35" t="str">
        <v>Columbus</v>
      </c>
      <c r="O39" s="28" t="str">
        <v/>
      </c>
      <c r="P39" s="28" t="str">
        <v/>
      </c>
      <c r="Q39" s="28" t="str">
        <v/>
      </c>
      <c r="R39" s="28" t="str">
        <v/>
      </c>
      <c r="S39" s="28" t="str">
        <v/>
      </c>
      <c r="T39" s="28" t="str">
        <v/>
      </c>
      <c r="U39" s="20"/>
      <c r="V39" s="20"/>
      <c r="W39" s="20"/>
      <c r="X39" s="39"/>
      <c r="Y39" s="39"/>
      <c r="Z39" s="39"/>
      <c r="AA39" s="20"/>
      <c r="AB39" s="20"/>
      <c r="AC39" s="20"/>
      <c r="AD39" s="20"/>
      <c r="AE39" s="20"/>
      <c r="AF39" s="20"/>
      <c r="AG39" s="20"/>
      <c r="AH39" s="20"/>
      <c r="AI39" s="20"/>
      <c r="AJ39" s="20"/>
      <c r="AK39" s="20"/>
      <c r="AL39" s="20"/>
      <c r="AM39" s="20"/>
      <c r="AN39" s="20"/>
      <c r="AO39" s="20"/>
      <c r="AP39" s="20"/>
      <c r="AQ39" s="20"/>
      <c r="AR39" s="20"/>
      <c r="AS39" s="20"/>
      <c r="AT39" s="20"/>
      <c r="AU39" s="20"/>
      <c r="AV39" s="20"/>
    </row>
    <row r="40" spans="1:48" ht="14.4" x14ac:dyDescent="0.3">
      <c r="A40" s="20"/>
      <c r="B40" s="20"/>
      <c r="C40" s="20"/>
      <c r="D40" s="20"/>
      <c r="E40" s="20"/>
      <c r="F40" s="20"/>
      <c r="G40" s="20"/>
      <c r="H40" s="20"/>
      <c r="I40" s="20"/>
      <c r="J40" s="20"/>
      <c r="K40" s="20"/>
      <c r="L40" s="20"/>
      <c r="M40" s="20"/>
      <c r="N40" s="34" t="str">
        <v>C0001</v>
      </c>
      <c r="O40" s="28">
        <v>1655</v>
      </c>
      <c r="P40" s="28">
        <v>805</v>
      </c>
      <c r="Q40" s="28">
        <v>2263</v>
      </c>
      <c r="R40" s="28">
        <v>987</v>
      </c>
      <c r="S40" s="28">
        <v>1075</v>
      </c>
      <c r="T40" s="28">
        <v>6785</v>
      </c>
      <c r="U40" s="20"/>
      <c r="V40" s="20"/>
      <c r="W40" s="20"/>
      <c r="X40" s="37"/>
      <c r="Y40" s="37"/>
      <c r="Z40" s="37"/>
      <c r="AA40" s="20"/>
      <c r="AB40" s="20"/>
      <c r="AC40" s="20"/>
      <c r="AD40" s="20"/>
      <c r="AE40" s="20"/>
      <c r="AF40" s="20"/>
      <c r="AG40" s="20"/>
      <c r="AH40" s="20"/>
      <c r="AI40" s="20"/>
      <c r="AJ40" s="20"/>
      <c r="AK40" s="20"/>
      <c r="AL40" s="20"/>
      <c r="AM40" s="20"/>
      <c r="AN40" s="20"/>
      <c r="AO40" s="20"/>
      <c r="AP40" s="20"/>
      <c r="AQ40" s="20"/>
      <c r="AR40" s="20"/>
      <c r="AS40" s="20"/>
      <c r="AT40" s="20"/>
      <c r="AU40" s="20"/>
      <c r="AV40" s="20"/>
    </row>
    <row r="41" spans="1:48" ht="14.4" x14ac:dyDescent="0.3">
      <c r="A41" s="20"/>
      <c r="B41" s="20"/>
      <c r="C41" s="20"/>
      <c r="D41" s="20"/>
      <c r="E41" s="20"/>
      <c r="F41" s="20"/>
      <c r="G41" s="20"/>
      <c r="H41" s="20"/>
      <c r="I41" s="20"/>
      <c r="J41" s="20"/>
      <c r="K41" s="20"/>
      <c r="L41" s="20"/>
      <c r="M41" s="20"/>
      <c r="N41" s="34" t="str">
        <v>C0005</v>
      </c>
      <c r="O41" s="28">
        <v>1104</v>
      </c>
      <c r="P41" s="28">
        <v>2280</v>
      </c>
      <c r="Q41" s="28">
        <v>1445</v>
      </c>
      <c r="R41" s="28">
        <v>1722</v>
      </c>
      <c r="S41" s="28">
        <v>1196</v>
      </c>
      <c r="T41" s="28">
        <v>7747</v>
      </c>
      <c r="U41" s="20"/>
      <c r="V41" s="20"/>
      <c r="W41" s="20"/>
      <c r="X41" s="37"/>
      <c r="Y41" s="37"/>
      <c r="Z41" s="37"/>
      <c r="AA41" s="20"/>
      <c r="AB41" s="20"/>
      <c r="AC41" s="20"/>
      <c r="AD41" s="20"/>
      <c r="AE41" s="20"/>
      <c r="AF41" s="20"/>
      <c r="AG41" s="20"/>
      <c r="AH41" s="20"/>
      <c r="AI41" s="20"/>
      <c r="AJ41" s="20"/>
      <c r="AK41" s="20"/>
      <c r="AL41" s="20"/>
      <c r="AM41" s="20"/>
      <c r="AN41" s="20"/>
      <c r="AO41" s="20"/>
      <c r="AP41" s="20"/>
      <c r="AQ41" s="20"/>
      <c r="AR41" s="20"/>
      <c r="AS41" s="20"/>
      <c r="AT41" s="20"/>
      <c r="AU41" s="20"/>
      <c r="AV41" s="20"/>
    </row>
    <row r="42" spans="1:48" ht="14.4" x14ac:dyDescent="0.3">
      <c r="A42" s="20"/>
      <c r="B42" s="20"/>
      <c r="C42" s="20"/>
      <c r="D42" s="20"/>
      <c r="E42" s="20"/>
      <c r="F42" s="20"/>
      <c r="G42" s="20"/>
      <c r="H42" s="20"/>
      <c r="I42" s="20"/>
      <c r="J42" s="20"/>
      <c r="K42" s="20"/>
      <c r="L42" s="20"/>
      <c r="M42" s="20"/>
      <c r="N42" s="34" t="str">
        <v>C0006</v>
      </c>
      <c r="O42" s="28">
        <v>372</v>
      </c>
      <c r="P42" s="28">
        <v>1818</v>
      </c>
      <c r="Q42" s="28">
        <v>1346</v>
      </c>
      <c r="R42" s="28">
        <v>1156</v>
      </c>
      <c r="S42" s="28">
        <v>1484</v>
      </c>
      <c r="T42" s="28">
        <v>6176</v>
      </c>
      <c r="U42" s="20"/>
      <c r="V42" s="20"/>
      <c r="W42" s="20"/>
      <c r="X42" s="37"/>
      <c r="Y42" s="37"/>
      <c r="Z42" s="37"/>
      <c r="AA42" s="20"/>
      <c r="AB42" s="20"/>
      <c r="AC42" s="20"/>
      <c r="AD42" s="20"/>
      <c r="AE42" s="20"/>
      <c r="AF42" s="20"/>
      <c r="AG42" s="20"/>
      <c r="AH42" s="20"/>
      <c r="AI42" s="20"/>
      <c r="AJ42" s="20"/>
      <c r="AK42" s="20"/>
      <c r="AL42" s="20"/>
      <c r="AM42" s="20"/>
      <c r="AN42" s="20"/>
      <c r="AO42" s="20"/>
      <c r="AP42" s="20"/>
      <c r="AQ42" s="20"/>
      <c r="AR42" s="20"/>
      <c r="AS42" s="20"/>
      <c r="AT42" s="20"/>
      <c r="AU42" s="20"/>
      <c r="AV42" s="20"/>
    </row>
    <row r="43" spans="1:48" ht="14.4" x14ac:dyDescent="0.3">
      <c r="A43" s="20"/>
      <c r="B43" s="20"/>
      <c r="C43" s="20"/>
      <c r="D43" s="20"/>
      <c r="E43" s="20"/>
      <c r="F43" s="20"/>
      <c r="G43" s="20"/>
      <c r="H43" s="20"/>
      <c r="I43" s="20"/>
      <c r="J43" s="20"/>
      <c r="K43" s="20"/>
      <c r="L43" s="20"/>
      <c r="M43" s="20"/>
      <c r="N43" s="34" t="str">
        <v>C0009</v>
      </c>
      <c r="O43" s="28">
        <v>1415</v>
      </c>
      <c r="P43" s="28">
        <v>1271</v>
      </c>
      <c r="Q43" s="28">
        <v>1214</v>
      </c>
      <c r="R43" s="28">
        <v>1135</v>
      </c>
      <c r="S43" s="28">
        <v>1566</v>
      </c>
      <c r="T43" s="28">
        <v>6601</v>
      </c>
      <c r="U43" s="20"/>
      <c r="V43" s="20"/>
      <c r="W43" s="20"/>
      <c r="X43" s="37"/>
      <c r="Y43" s="37"/>
      <c r="Z43" s="37"/>
      <c r="AA43" s="20"/>
      <c r="AB43" s="20"/>
      <c r="AC43" s="20"/>
      <c r="AD43" s="20"/>
      <c r="AE43" s="20"/>
      <c r="AF43" s="20"/>
      <c r="AG43" s="20"/>
      <c r="AH43" s="20"/>
      <c r="AI43" s="20"/>
      <c r="AJ43" s="20"/>
      <c r="AK43" s="20"/>
      <c r="AL43" s="20"/>
      <c r="AM43" s="20"/>
      <c r="AN43" s="20"/>
      <c r="AO43" s="20"/>
      <c r="AP43" s="20"/>
      <c r="AQ43" s="20"/>
      <c r="AR43" s="20"/>
      <c r="AS43" s="20"/>
      <c r="AT43" s="20"/>
      <c r="AU43" s="20"/>
      <c r="AV43" s="20"/>
    </row>
    <row r="44" spans="1:48" ht="14.4" x14ac:dyDescent="0.3">
      <c r="A44" s="20"/>
      <c r="B44" s="20"/>
      <c r="C44" s="20"/>
      <c r="D44" s="20"/>
      <c r="E44" s="20"/>
      <c r="F44" s="20"/>
      <c r="G44" s="20"/>
      <c r="H44" s="20"/>
      <c r="I44" s="20"/>
      <c r="J44" s="20"/>
      <c r="K44" s="20"/>
      <c r="L44" s="20"/>
      <c r="M44" s="20"/>
      <c r="N44" s="34" t="str">
        <v>C0014</v>
      </c>
      <c r="O44" s="28">
        <v>1362</v>
      </c>
      <c r="P44" s="28">
        <v>1363</v>
      </c>
      <c r="Q44" s="28">
        <v>1152</v>
      </c>
      <c r="R44" s="28">
        <v>777</v>
      </c>
      <c r="S44" s="28">
        <v>750</v>
      </c>
      <c r="T44" s="28">
        <v>5404</v>
      </c>
      <c r="U44" s="20"/>
      <c r="V44" s="20"/>
      <c r="W44" s="20"/>
      <c r="X44" s="37"/>
      <c r="Y44" s="37"/>
      <c r="Z44" s="37"/>
      <c r="AA44" s="20"/>
      <c r="AB44" s="20"/>
      <c r="AC44" s="20"/>
      <c r="AD44" s="20"/>
      <c r="AE44" s="20"/>
      <c r="AF44" s="20"/>
      <c r="AG44" s="20"/>
      <c r="AH44" s="20"/>
      <c r="AI44" s="20"/>
      <c r="AJ44" s="20"/>
      <c r="AK44" s="20"/>
      <c r="AL44" s="20"/>
      <c r="AM44" s="20"/>
      <c r="AN44" s="20"/>
      <c r="AO44" s="20"/>
      <c r="AP44" s="20"/>
      <c r="AQ44" s="20"/>
      <c r="AR44" s="20"/>
      <c r="AS44" s="20"/>
      <c r="AT44" s="20"/>
      <c r="AU44" s="20"/>
      <c r="AV44" s="20"/>
    </row>
    <row r="45" spans="1:48"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row>
    <row r="46" spans="1:48"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row>
    <row r="47" spans="1:48"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row>
    <row r="48" spans="1:48"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row>
    <row r="49" spans="1:48"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row>
    <row r="50" spans="1:48"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row>
    <row r="51" spans="1:48"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row>
    <row r="52" spans="1:48"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row>
    <row r="53" spans="1:48"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row>
    <row r="54" spans="1:48"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row>
    <row r="55" spans="1:48"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row>
    <row r="56" spans="1:48"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row>
    <row r="57" spans="1:48"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row>
    <row r="58" spans="1:48"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row>
    <row r="59" spans="1:48"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row>
    <row r="60" spans="1:48"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row>
    <row r="61" spans="1:48"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row>
    <row r="62" spans="1:48"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row>
    <row r="63" spans="1:48"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row>
    <row r="64" spans="1:48"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row>
    <row r="65" spans="1:48"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row>
    <row r="66" spans="1:48"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row>
    <row r="67" spans="1:48"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row>
    <row r="68" spans="1:48"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row>
    <row r="69" spans="1:48"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row>
    <row r="70" spans="1:48"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row>
    <row r="71" spans="1:48"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row>
    <row r="72" spans="1:48"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row>
    <row r="73" spans="1:48"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row>
    <row r="74" spans="1:48"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row>
    <row r="75" spans="1:48"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row>
    <row r="76" spans="1:48"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row>
    <row r="77" spans="1:48"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row>
    <row r="78" spans="1:48"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row>
    <row r="79" spans="1:48"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row>
    <row r="80" spans="1:48"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row>
    <row r="81" spans="1:48"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row>
    <row r="82" spans="1:48"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row>
    <row r="83" spans="1:48"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row>
    <row r="84" spans="1:48"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row>
    <row r="85" spans="1:48"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row>
    <row r="86" spans="1:48"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row>
    <row r="87" spans="1:48"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row>
    <row r="88" spans="1:48"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row>
    <row r="89" spans="1:48"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row>
    <row r="90" spans="1:48"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row>
    <row r="91" spans="1:48"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row>
    <row r="92" spans="1:48"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row>
    <row r="93" spans="1:48"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row>
    <row r="94" spans="1:48"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row>
    <row r="95" spans="1:48"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row>
    <row r="96" spans="1:48"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row>
    <row r="97" spans="1:48"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row>
    <row r="98" spans="1:48"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row>
    <row r="99" spans="1:48"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row>
    <row r="100" spans="1:48"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row>
    <row r="101" spans="1:48"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row>
    <row r="102" spans="1:48"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row>
    <row r="103" spans="1:48"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row>
    <row r="104" spans="1:48"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row>
    <row r="105" spans="1:48"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row>
    <row r="106" spans="1:48"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row>
    <row r="107" spans="1:48"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row>
    <row r="108" spans="1:48"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row>
    <row r="109" spans="1:48"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row>
    <row r="110" spans="1:48"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row>
    <row r="111" spans="1:48"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row>
    <row r="112" spans="1:48"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row>
    <row r="113" spans="1:48"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row>
    <row r="114" spans="1:48"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row>
    <row r="115" spans="1:48"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row>
    <row r="116" spans="1:48"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row>
    <row r="117" spans="1:48"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row>
    <row r="118" spans="1:48"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row>
    <row r="119" spans="1:48"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row>
    <row r="120" spans="1:48"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row>
    <row r="121" spans="1:48"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row>
    <row r="122" spans="1:48"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row>
    <row r="123" spans="1:48"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row>
    <row r="124" spans="1:48"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row>
    <row r="125" spans="1:48"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row>
    <row r="126" spans="1:48"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row>
    <row r="127" spans="1:48"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row>
    <row r="128" spans="1:48"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row>
    <row r="129" spans="1:48"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row>
    <row r="130" spans="1:48"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row>
    <row r="131" spans="1:48"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row>
    <row r="132" spans="1:48"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row>
    <row r="133" spans="1:48"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row>
    <row r="134" spans="1:48"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row>
    <row r="135" spans="1:48"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row>
    <row r="136" spans="1:48"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row>
    <row r="137" spans="1:48"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row>
    <row r="138" spans="1:48"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row>
    <row r="139" spans="1:48"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row>
    <row r="140" spans="1:48"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row>
    <row r="141" spans="1:48"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row>
    <row r="142" spans="1:48"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row>
    <row r="143" spans="1:48"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row>
    <row r="144" spans="1:48"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row>
    <row r="145" spans="1:48"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row>
    <row r="146" spans="1:48"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row>
    <row r="147" spans="1:48"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row>
    <row r="148" spans="1:48"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row>
    <row r="149" spans="1:48"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row>
    <row r="150" spans="1:48"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row>
    <row r="151" spans="1:48"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row>
    <row r="152" spans="1:48"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row>
    <row r="153" spans="1:48"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row>
    <row r="154" spans="1:48"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row>
    <row r="155" spans="1:48"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row>
    <row r="156" spans="1:48"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row>
    <row r="157" spans="1:48"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row>
    <row r="158" spans="1:48"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row>
    <row r="159" spans="1:48"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row>
    <row r="160" spans="1:48"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row>
    <row r="161" spans="1:48"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row>
    <row r="162" spans="1:48"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row>
    <row r="163" spans="1:48"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row>
    <row r="164" spans="1:48"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row>
    <row r="165" spans="1:48"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row>
    <row r="166" spans="1:48"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row>
    <row r="167" spans="1:48"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row>
    <row r="168" spans="1:48"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row>
    <row r="169" spans="1:48"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row>
    <row r="170" spans="1:48"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row>
    <row r="171" spans="1:48"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row>
    <row r="172" spans="1:48"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row>
    <row r="173" spans="1:48"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row>
    <row r="174" spans="1:48"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row>
    <row r="175" spans="1:48"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row>
    <row r="176" spans="1:48"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row>
    <row r="177" spans="1:48"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row>
    <row r="178" spans="1:48"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row>
    <row r="179" spans="1:48"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row>
    <row r="180" spans="1:48"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row>
    <row r="181" spans="1:48"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row>
    <row r="182" spans="1:48"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row>
    <row r="183" spans="1:48"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row>
    <row r="184" spans="1:48"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row>
    <row r="185" spans="1:48"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row>
    <row r="186" spans="1:48"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row>
    <row r="187" spans="1:48"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row>
    <row r="188" spans="1:48"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row>
    <row r="189" spans="1:48"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row>
    <row r="190" spans="1:48"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row>
    <row r="191" spans="1:48"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row>
    <row r="192" spans="1:48"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row>
    <row r="193" spans="1:48"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row>
    <row r="194" spans="1:48"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row>
    <row r="195" spans="1:48"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row>
    <row r="196" spans="1:48"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row>
    <row r="197" spans="1:48"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row>
    <row r="198" spans="1:48"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row>
    <row r="199" spans="1:48"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row>
    <row r="200" spans="1:48"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row>
  </sheetData>
  <mergeCells count="1">
    <mergeCell ref="X33:Z39"/>
  </mergeCells>
  <conditionalFormatting sqref="O28:S44">
    <cfRule type="dataBar" priority="2">
      <dataBar>
        <cfvo type="num" val="0"/>
        <cfvo type="formula" val="MAX(+$O$28:$T$44)*1.5"/>
        <color theme="1" tint="0.249977111117893"/>
      </dataBar>
      <extLst>
        <ext xmlns:x14="http://schemas.microsoft.com/office/spreadsheetml/2009/9/main" uri="{B025F937-C7B1-47D3-B67F-A62EFF666E3E}">
          <x14:id>{0D41C5D9-DB0C-4C7A-B741-95B258CA6421}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D4C14856-B573-43FB-8E5A-3BE01F27D554}">
            <xm:f>O$26='Pivot Table'!$C$58</xm:f>
            <x14:dxf>
              <fill>
                <patternFill>
                  <bgColor theme="5" tint="0.79998168889431442"/>
                </patternFill>
              </fill>
              <border>
                <left style="thin">
                  <color theme="1"/>
                </left>
                <right style="thin">
                  <color theme="1"/>
                </right>
                <top style="thin">
                  <color theme="1"/>
                </top>
                <bottom style="thin">
                  <color theme="1"/>
                </bottom>
              </border>
            </x14:dxf>
          </x14:cfRule>
          <xm:sqref>O26:S44</xm:sqref>
        </x14:conditionalFormatting>
        <x14:conditionalFormatting xmlns:xm="http://schemas.microsoft.com/office/excel/2006/main">
          <x14:cfRule type="dataBar" id="{0D41C5D9-DB0C-4C7A-B741-95B258CA6421}">
            <x14:dataBar minLength="0" maxLength="100" gradient="0">
              <x14:cfvo type="num">
                <xm:f>0</xm:f>
              </x14:cfvo>
              <x14:cfvo type="formula">
                <xm:f>MAX(+$O$28:$T$44)*1.5</xm:f>
              </x14:cfvo>
              <x14:negativeFillColor rgb="FFFF0000"/>
              <x14:axisColor rgb="FF000000"/>
            </x14:dataBar>
          </x14:cfRule>
          <xm:sqref>O28:S44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 Table</vt:lpstr>
      <vt:lpstr>Customer Care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GURU T B</cp:lastModifiedBy>
  <dcterms:created xsi:type="dcterms:W3CDTF">2021-03-14T20:21:32Z</dcterms:created>
  <dcterms:modified xsi:type="dcterms:W3CDTF">2025-06-14T03:39:37Z</dcterms:modified>
</cp:coreProperties>
</file>